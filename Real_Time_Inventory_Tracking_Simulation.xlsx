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Stock Summary" sheetId="3" state="visible" r:id="rId3"/>
    <sheet xmlns:r="http://schemas.openxmlformats.org/officeDocument/2006/relationships" name="Weekly Dashboard" sheetId="4" state="visible" r:id="rId4"/>
  </sheets>
  <definedNames>
    <definedName name="_xlnm._FilterDatabase" localSheetId="1" hidden="1">'Transactions'!$A$1:$O$201</definedName>
    <definedName name="_xlnm._FilterDatabase" localSheetId="2" hidden="1">'Stock Summary'!$A$1:$J$6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dd-mmm-yyyy hh:mm"/>
    <numFmt numFmtId="167" formatCode="hh:mm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1F1F"/>
    </font>
    <font>
      <b val="1"/>
      <color rgb="00FFFFFF"/>
    </font>
    <font>
      <b val="1"/>
      <color rgb="00FFFFFF"/>
      <sz val="17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center"/>
    </xf>
    <xf numFmtId="0" fontId="4" fillId="2" borderId="0" pivotButton="0" quotePrefix="0" xfId="0"/>
    <xf numFmtId="0" fontId="3" fillId="4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InventoryTransactions" displayName="InventoryTransactions" ref="A1:O21" headerRowCount="1">
  <autoFilter ref="A1:O21"/>
  <tableColumns count="15">
    <tableColumn id="1" name="Transaction ID"/>
    <tableColumn id="2" name="Date"/>
    <tableColumn id="3" name="Time"/>
    <tableColumn id="4" name="Timestamp"/>
    <tableColumn id="5" name="SKU"/>
    <tableColumn id="6" name="Product"/>
    <tableColumn id="7" name="Transaction Type"/>
    <tableColumn id="8" name="Quantity"/>
    <tableColumn id="9" name="From Location"/>
    <tableColumn id="10" name="To Location"/>
    <tableColumn id="11" name="Reference / PO / SO"/>
    <tableColumn id="12" name="Entered By"/>
    <tableColumn id="13" name="Notes"/>
    <tableColumn id="14" name="Signed Qty"/>
    <tableColumn id="15" name="Data Chec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REAL-TIME INVENTORY TRACKING SIMULATION</t>
        </is>
      </c>
    </row>
    <row r="3" ht="32" customHeight="1">
      <c r="A3" s="2" t="inlineStr">
        <is>
          <t>Purpose</t>
        </is>
      </c>
      <c r="B3" s="3" t="inlineStr">
        <is>
          <t>A one-week, manual-entry warehouse inventory simulation using formula-driven stock balances.</t>
        </is>
      </c>
    </row>
    <row r="4" ht="24" customHeight="1">
      <c r="A4" s="2" t="inlineStr">
        <is>
          <t>Simulation period</t>
        </is>
      </c>
      <c r="B4" s="3" t="inlineStr">
        <is>
          <t>05-Oct-2026 to 11-Oct-2026 (sample data; replace with your own transactions if required).</t>
        </is>
      </c>
    </row>
    <row r="5" ht="32" customHeight="1">
      <c r="A5" s="2" t="inlineStr">
        <is>
          <t>How to use</t>
        </is>
      </c>
      <c r="B5" s="3" t="inlineStr">
        <is>
          <t>Enter each receipt, issue, or transfer as a new row on the Transactions sheet. Keep Transaction IDs unique.</t>
        </is>
      </c>
    </row>
    <row r="6" ht="24" customHeight="1">
      <c r="A6" s="2" t="inlineStr">
        <is>
          <t>Receipt</t>
        </is>
      </c>
      <c r="B6" s="3" t="inlineStr">
        <is>
          <t>Adds the quantity to the item's total stock.</t>
        </is>
      </c>
    </row>
    <row r="7" ht="32" customHeight="1">
      <c r="A7" s="2" t="inlineStr">
        <is>
          <t>Issue</t>
        </is>
      </c>
      <c r="B7" s="3" t="inlineStr">
        <is>
          <t>Subtracts the quantity from the item's total stock. Do not issue more than available stock.</t>
        </is>
      </c>
    </row>
    <row r="8" ht="32" customHeight="1">
      <c r="A8" s="2" t="inlineStr">
        <is>
          <t>Transfer</t>
        </is>
      </c>
      <c r="B8" s="3" t="inlineStr">
        <is>
          <t>Represents movement between internal locations. It does not change total inventory; source and destination are recorded.</t>
        </is>
      </c>
    </row>
    <row r="9" ht="32" customHeight="1">
      <c r="A9" s="2" t="inlineStr">
        <is>
          <t>Live update</t>
        </is>
      </c>
      <c r="B9" s="3" t="inlineStr">
        <is>
          <t>Stock Summary calculates receipt totals, issue totals, and current balance from the Transactions sheet.</t>
        </is>
      </c>
    </row>
    <row r="10" ht="32" customHeight="1">
      <c r="A10" s="2" t="inlineStr">
        <is>
          <t>Controls</t>
        </is>
      </c>
      <c r="B10" s="3" t="inlineStr">
        <is>
          <t>Drop-down lists, unique transaction IDs, mandatory references, negative-stock warning, and documented user/timestamp fields support traceability.</t>
        </is>
      </c>
    </row>
    <row r="11" ht="32" customHeight="1">
      <c r="A11" s="2" t="inlineStr">
        <is>
          <t>Important</t>
        </is>
      </c>
      <c r="B11" s="3" t="inlineStr">
        <is>
          <t>This is a spreadsheet simulation, not a live connected warehouse system. Excel recalculates formulas when transactions are entered.</t>
        </is>
      </c>
    </row>
    <row r="12" ht="32" customHeight="1">
      <c r="A12" s="2" t="inlineStr">
        <is>
          <t>Formula note</t>
        </is>
      </c>
      <c r="B12" s="3" t="inlineStr">
        <is>
          <t>The summary uses SUMIFS; transaction rows include signed quantity formulas for Receipts and Issues. Transfers have zero net total effect.</t>
        </is>
      </c>
    </row>
  </sheetData>
  <mergeCells count="11">
    <mergeCell ref="B4:F4"/>
    <mergeCell ref="B12:F12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20" customWidth="1" min="4" max="4"/>
    <col width="14" customWidth="1" min="5" max="5"/>
    <col width="20" customWidth="1" min="6" max="6"/>
    <col width="17" customWidth="1" min="7" max="7"/>
    <col width="12" customWidth="1" min="8" max="8"/>
    <col width="17" customWidth="1" min="9" max="9"/>
    <col width="17" customWidth="1" min="10" max="10"/>
    <col width="20" customWidth="1" min="11" max="11"/>
    <col width="16" customWidth="1" min="12" max="12"/>
    <col width="42" customWidth="1" min="13" max="13"/>
    <col width="12" customWidth="1" min="14" max="14"/>
    <col width="20" customWidth="1" min="15" max="15"/>
  </cols>
  <sheetData>
    <row r="1">
      <c r="A1" s="4" t="inlineStr">
        <is>
          <t>Transaction ID</t>
        </is>
      </c>
      <c r="B1" s="4" t="inlineStr">
        <is>
          <t>Date</t>
        </is>
      </c>
      <c r="C1" s="4" t="inlineStr">
        <is>
          <t>Time</t>
        </is>
      </c>
      <c r="D1" s="4" t="inlineStr">
        <is>
          <t>Timestamp</t>
        </is>
      </c>
      <c r="E1" s="4" t="inlineStr">
        <is>
          <t>SKU</t>
        </is>
      </c>
      <c r="F1" s="4" t="inlineStr">
        <is>
          <t>Product</t>
        </is>
      </c>
      <c r="G1" s="4" t="inlineStr">
        <is>
          <t>Transaction Type</t>
        </is>
      </c>
      <c r="H1" s="4" t="inlineStr">
        <is>
          <t>Quantity</t>
        </is>
      </c>
      <c r="I1" s="4" t="inlineStr">
        <is>
          <t>From Location</t>
        </is>
      </c>
      <c r="J1" s="4" t="inlineStr">
        <is>
          <t>To Location</t>
        </is>
      </c>
      <c r="K1" s="4" t="inlineStr">
        <is>
          <t>Reference / PO / SO</t>
        </is>
      </c>
      <c r="L1" s="4" t="inlineStr">
        <is>
          <t>Entered By</t>
        </is>
      </c>
      <c r="M1" s="4" t="inlineStr">
        <is>
          <t>Notes</t>
        </is>
      </c>
      <c r="N1" s="4" t="inlineStr">
        <is>
          <t>Signed Qty</t>
        </is>
      </c>
      <c r="O1" s="4" t="inlineStr">
        <is>
          <t>Data Check</t>
        </is>
      </c>
    </row>
    <row r="2">
      <c r="A2" s="5" t="inlineStr">
        <is>
          <t>TXN-001</t>
        </is>
      </c>
      <c r="B2" s="6" t="n">
        <v>46300</v>
      </c>
      <c r="C2" s="7" t="inlineStr">
        <is>
          <t>09:05</t>
        </is>
      </c>
      <c r="D2" s="8">
        <f>B2+C2</f>
        <v/>
      </c>
      <c r="E2" s="5" t="inlineStr">
        <is>
          <t>SKU-1001</t>
        </is>
      </c>
      <c r="F2" s="5" t="inlineStr">
        <is>
          <t>Wireless Mouse</t>
        </is>
      </c>
      <c r="G2" s="5" t="inlineStr">
        <is>
          <t>Receipt</t>
        </is>
      </c>
      <c r="H2" s="5" t="n">
        <v>40</v>
      </c>
      <c r="I2" s="5" t="inlineStr">
        <is>
          <t>Receiving Dock</t>
        </is>
      </c>
      <c r="J2" s="5" t="inlineStr">
        <is>
          <t>A-01</t>
        </is>
      </c>
      <c r="K2" s="5" t="inlineStr">
        <is>
          <t>PO-701</t>
        </is>
      </c>
      <c r="L2" s="5" t="inlineStr">
        <is>
          <t>A. Khan</t>
        </is>
      </c>
      <c r="M2" s="3" t="inlineStr">
        <is>
          <t>Received 40 units; quantity checked</t>
        </is>
      </c>
      <c r="N2" s="5">
        <f>IF(G2="Receipt",H2,IF(G2="Issue",-H2,0))</f>
        <v/>
      </c>
      <c r="O2" s="3">
        <f>IF(A2="","MISSING ID",IF(COUNTIF($A$2:$A$201,A2)&gt;1,"DUPLICATE ID",IF(OR(B2="",C2="",E2="",G2="",H2&lt;=0,L2="",K2=""),"CHECK REQUIRED",IF(AND(G2="Transfer",OR(I2="",J2="",I2=J2)),"CHECK TRANSFER","OK"))))</f>
        <v/>
      </c>
    </row>
    <row r="3">
      <c r="A3" s="5" t="inlineStr">
        <is>
          <t>TXN-002</t>
        </is>
      </c>
      <c r="B3" s="6" t="n">
        <v>46300</v>
      </c>
      <c r="C3" s="7" t="inlineStr">
        <is>
          <t>10:20</t>
        </is>
      </c>
      <c r="D3" s="8">
        <f>B3+C3</f>
        <v/>
      </c>
      <c r="E3" s="5" t="inlineStr">
        <is>
          <t>SKU-1002</t>
        </is>
      </c>
      <c r="F3" s="5" t="inlineStr">
        <is>
          <t>USB Keyboard</t>
        </is>
      </c>
      <c r="G3" s="5" t="inlineStr">
        <is>
          <t>Issue</t>
        </is>
      </c>
      <c r="H3" s="5" t="n">
        <v>12</v>
      </c>
      <c r="I3" s="5" t="inlineStr">
        <is>
          <t>A-02</t>
        </is>
      </c>
      <c r="J3" s="5" t="inlineStr">
        <is>
          <t>Dispatch Bay</t>
        </is>
      </c>
      <c r="K3" s="5" t="inlineStr">
        <is>
          <t>SO-501</t>
        </is>
      </c>
      <c r="L3" s="5" t="inlineStr">
        <is>
          <t>S. Ali</t>
        </is>
      </c>
      <c r="M3" s="3" t="inlineStr">
        <is>
          <t>Order packed and dispatched</t>
        </is>
      </c>
      <c r="N3" s="5">
        <f>IF(G3="Receipt",H3,IF(G3="Issue",-H3,0))</f>
        <v/>
      </c>
      <c r="O3" s="3">
        <f>IF(A3="","MISSING ID",IF(COUNTIF($A$2:$A$201,A3)&gt;1,"DUPLICATE ID",IF(OR(B3="",C3="",E3="",G3="",H3&lt;=0,L3="",K3=""),"CHECK REQUIRED",IF(AND(G3="Transfer",OR(I3="",J3="",I3=J3)),"CHECK TRANSFER","OK"))))</f>
        <v/>
      </c>
    </row>
    <row r="4">
      <c r="A4" s="5" t="inlineStr">
        <is>
          <t>TXN-003</t>
        </is>
      </c>
      <c r="B4" s="6" t="n">
        <v>46300</v>
      </c>
      <c r="C4" s="7" t="inlineStr">
        <is>
          <t>11:10</t>
        </is>
      </c>
      <c r="D4" s="8">
        <f>B4+C4</f>
        <v/>
      </c>
      <c r="E4" s="5" t="inlineStr">
        <is>
          <t>SKU-1003</t>
        </is>
      </c>
      <c r="F4" s="5" t="inlineStr">
        <is>
          <t>HDMI Cable 2m</t>
        </is>
      </c>
      <c r="G4" s="5" t="inlineStr">
        <is>
          <t>Issue</t>
        </is>
      </c>
      <c r="H4" s="5" t="n">
        <v>25</v>
      </c>
      <c r="I4" s="5" t="inlineStr">
        <is>
          <t>B-01</t>
        </is>
      </c>
      <c r="J4" s="5" t="inlineStr">
        <is>
          <t>Dispatch Bay</t>
        </is>
      </c>
      <c r="K4" s="5" t="inlineStr">
        <is>
          <t>SO-502</t>
        </is>
      </c>
      <c r="L4" s="5" t="inlineStr">
        <is>
          <t>M. Noor</t>
        </is>
      </c>
      <c r="M4" s="3" t="inlineStr">
        <is>
          <t>Customer shipment</t>
        </is>
      </c>
      <c r="N4" s="5">
        <f>IF(G4="Receipt",H4,IF(G4="Issue",-H4,0))</f>
        <v/>
      </c>
      <c r="O4" s="3">
        <f>IF(A4="","MISSING ID",IF(COUNTIF($A$2:$A$201,A4)&gt;1,"DUPLICATE ID",IF(OR(B4="",C4="",E4="",G4="",H4&lt;=0,L4="",K4=""),"CHECK REQUIRED",IF(AND(G4="Transfer",OR(I4="",J4="",I4=J4)),"CHECK TRANSFER","OK"))))</f>
        <v/>
      </c>
    </row>
    <row r="5">
      <c r="A5" s="5" t="inlineStr">
        <is>
          <t>TXN-004</t>
        </is>
      </c>
      <c r="B5" s="6" t="n">
        <v>46301</v>
      </c>
      <c r="C5" s="7" t="inlineStr">
        <is>
          <t>09:15</t>
        </is>
      </c>
      <c r="D5" s="8">
        <f>B5+C5</f>
        <v/>
      </c>
      <c r="E5" s="5" t="inlineStr">
        <is>
          <t>SKU-1004</t>
        </is>
      </c>
      <c r="F5" s="5" t="inlineStr">
        <is>
          <t>Laptop Stand</t>
        </is>
      </c>
      <c r="G5" s="5" t="inlineStr">
        <is>
          <t>Receipt</t>
        </is>
      </c>
      <c r="H5" s="5" t="n">
        <v>20</v>
      </c>
      <c r="I5" s="5" t="inlineStr">
        <is>
          <t>Receiving Dock</t>
        </is>
      </c>
      <c r="J5" s="5" t="inlineStr">
        <is>
          <t>B-02</t>
        </is>
      </c>
      <c r="K5" s="5" t="inlineStr">
        <is>
          <t>PO-702</t>
        </is>
      </c>
      <c r="L5" s="5" t="inlineStr">
        <is>
          <t>A. Khan</t>
        </is>
      </c>
      <c r="M5" s="3" t="inlineStr">
        <is>
          <t>Supplier delivery inspected</t>
        </is>
      </c>
      <c r="N5" s="5">
        <f>IF(G5="Receipt",H5,IF(G5="Issue",-H5,0))</f>
        <v/>
      </c>
      <c r="O5" s="3">
        <f>IF(A5="","MISSING ID",IF(COUNTIF($A$2:$A$201,A5)&gt;1,"DUPLICATE ID",IF(OR(B5="",C5="",E5="",G5="",H5&lt;=0,L5="",K5=""),"CHECK REQUIRED",IF(AND(G5="Transfer",OR(I5="",J5="",I5=J5)),"CHECK TRANSFER","OK"))))</f>
        <v/>
      </c>
    </row>
    <row r="6">
      <c r="A6" s="5" t="inlineStr">
        <is>
          <t>TXN-005</t>
        </is>
      </c>
      <c r="B6" s="6" t="n">
        <v>46301</v>
      </c>
      <c r="C6" s="7" t="inlineStr">
        <is>
          <t>10:35</t>
        </is>
      </c>
      <c r="D6" s="8">
        <f>B6+C6</f>
        <v/>
      </c>
      <c r="E6" s="5" t="inlineStr">
        <is>
          <t>SKU-1001</t>
        </is>
      </c>
      <c r="F6" s="5" t="inlineStr">
        <is>
          <t>Wireless Mouse</t>
        </is>
      </c>
      <c r="G6" s="5" t="inlineStr">
        <is>
          <t>Issue</t>
        </is>
      </c>
      <c r="H6" s="5" t="n">
        <v>18</v>
      </c>
      <c r="I6" s="5" t="inlineStr">
        <is>
          <t>A-01</t>
        </is>
      </c>
      <c r="J6" s="5" t="inlineStr">
        <is>
          <t>Dispatch Bay</t>
        </is>
      </c>
      <c r="K6" s="5" t="inlineStr">
        <is>
          <t>SO-503</t>
        </is>
      </c>
      <c r="L6" s="5" t="inlineStr">
        <is>
          <t>S. Ali</t>
        </is>
      </c>
      <c r="M6" s="3" t="inlineStr">
        <is>
          <t>Order dispatched</t>
        </is>
      </c>
      <c r="N6" s="5">
        <f>IF(G6="Receipt",H6,IF(G6="Issue",-H6,0))</f>
        <v/>
      </c>
      <c r="O6" s="3">
        <f>IF(A6="","MISSING ID",IF(COUNTIF($A$2:$A$201,A6)&gt;1,"DUPLICATE ID",IF(OR(B6="",C6="",E6="",G6="",H6&lt;=0,L6="",K6=""),"CHECK REQUIRED",IF(AND(G6="Transfer",OR(I6="",J6="",I6=J6)),"CHECK TRANSFER","OK"))))</f>
        <v/>
      </c>
    </row>
    <row r="7">
      <c r="A7" s="5" t="inlineStr">
        <is>
          <t>TXN-006</t>
        </is>
      </c>
      <c r="B7" s="6" t="n">
        <v>46301</v>
      </c>
      <c r="C7" s="7" t="inlineStr">
        <is>
          <t>13:00</t>
        </is>
      </c>
      <c r="D7" s="8">
        <f>B7+C7</f>
        <v/>
      </c>
      <c r="E7" s="5" t="inlineStr">
        <is>
          <t>SKU-1005</t>
        </is>
      </c>
      <c r="F7" s="5" t="inlineStr">
        <is>
          <t>USB-C Charger</t>
        </is>
      </c>
      <c r="G7" s="5" t="inlineStr">
        <is>
          <t>Transfer</t>
        </is>
      </c>
      <c r="H7" s="5" t="n">
        <v>15</v>
      </c>
      <c r="I7" s="5" t="inlineStr">
        <is>
          <t>C-01</t>
        </is>
      </c>
      <c r="J7" s="5" t="inlineStr">
        <is>
          <t>C-03</t>
        </is>
      </c>
      <c r="K7" s="5" t="inlineStr">
        <is>
          <t>TR-101</t>
        </is>
      </c>
      <c r="L7" s="5" t="inlineStr">
        <is>
          <t>M. Noor</t>
        </is>
      </c>
      <c r="M7" s="3" t="inlineStr">
        <is>
          <t>Internal relocation; net stock unchanged</t>
        </is>
      </c>
      <c r="N7" s="5">
        <f>IF(G7="Receipt",H7,IF(G7="Issue",-H7,0))</f>
        <v/>
      </c>
      <c r="O7" s="3">
        <f>IF(A7="","MISSING ID",IF(COUNTIF($A$2:$A$201,A7)&gt;1,"DUPLICATE ID",IF(OR(B7="",C7="",E7="",G7="",H7&lt;=0,L7="",K7=""),"CHECK REQUIRED",IF(AND(G7="Transfer",OR(I7="",J7="",I7=J7)),"CHECK TRANSFER","OK"))))</f>
        <v/>
      </c>
    </row>
    <row r="8">
      <c r="A8" s="5" t="inlineStr">
        <is>
          <t>TXN-007</t>
        </is>
      </c>
      <c r="B8" s="6" t="n">
        <v>46302</v>
      </c>
      <c r="C8" s="7" t="inlineStr">
        <is>
          <t>08:55</t>
        </is>
      </c>
      <c r="D8" s="8">
        <f>B8+C8</f>
        <v/>
      </c>
      <c r="E8" s="5" t="inlineStr">
        <is>
          <t>SKU-1002</t>
        </is>
      </c>
      <c r="F8" s="5" t="inlineStr">
        <is>
          <t>USB Keyboard</t>
        </is>
      </c>
      <c r="G8" s="5" t="inlineStr">
        <is>
          <t>Receipt</t>
        </is>
      </c>
      <c r="H8" s="5" t="n">
        <v>30</v>
      </c>
      <c r="I8" s="5" t="inlineStr">
        <is>
          <t>Receiving Dock</t>
        </is>
      </c>
      <c r="J8" s="5" t="inlineStr">
        <is>
          <t>A-02</t>
        </is>
      </c>
      <c r="K8" s="5" t="inlineStr">
        <is>
          <t>PO-703</t>
        </is>
      </c>
      <c r="L8" s="5" t="inlineStr">
        <is>
          <t>A. Khan</t>
        </is>
      </c>
      <c r="M8" s="3" t="inlineStr">
        <is>
          <t>Received against purchase order</t>
        </is>
      </c>
      <c r="N8" s="5">
        <f>IF(G8="Receipt",H8,IF(G8="Issue",-H8,0))</f>
        <v/>
      </c>
      <c r="O8" s="3">
        <f>IF(A8="","MISSING ID",IF(COUNTIF($A$2:$A$201,A8)&gt;1,"DUPLICATE ID",IF(OR(B8="",C8="",E8="",G8="",H8&lt;=0,L8="",K8=""),"CHECK REQUIRED",IF(AND(G8="Transfer",OR(I8="",J8="",I8=J8)),"CHECK TRANSFER","OK"))))</f>
        <v/>
      </c>
    </row>
    <row r="9">
      <c r="A9" s="5" t="inlineStr">
        <is>
          <t>TXN-008</t>
        </is>
      </c>
      <c r="B9" s="6" t="n">
        <v>46302</v>
      </c>
      <c r="C9" s="7" t="inlineStr">
        <is>
          <t>10:10</t>
        </is>
      </c>
      <c r="D9" s="8">
        <f>B9+C9</f>
        <v/>
      </c>
      <c r="E9" s="5" t="inlineStr">
        <is>
          <t>SKU-1003</t>
        </is>
      </c>
      <c r="F9" s="5" t="inlineStr">
        <is>
          <t>HDMI Cable 2m</t>
        </is>
      </c>
      <c r="G9" s="5" t="inlineStr">
        <is>
          <t>Issue</t>
        </is>
      </c>
      <c r="H9" s="5" t="n">
        <v>35</v>
      </c>
      <c r="I9" s="5" t="inlineStr">
        <is>
          <t>B-01</t>
        </is>
      </c>
      <c r="J9" s="5" t="inlineStr">
        <is>
          <t>Dispatch Bay</t>
        </is>
      </c>
      <c r="K9" s="5" t="inlineStr">
        <is>
          <t>SO-504</t>
        </is>
      </c>
      <c r="L9" s="5" t="inlineStr">
        <is>
          <t>S. Ali</t>
        </is>
      </c>
      <c r="M9" s="3" t="inlineStr">
        <is>
          <t>Customer shipment</t>
        </is>
      </c>
      <c r="N9" s="5">
        <f>IF(G9="Receipt",H9,IF(G9="Issue",-H9,0))</f>
        <v/>
      </c>
      <c r="O9" s="3">
        <f>IF(A9="","MISSING ID",IF(COUNTIF($A$2:$A$201,A9)&gt;1,"DUPLICATE ID",IF(OR(B9="",C9="",E9="",G9="",H9&lt;=0,L9="",K9=""),"CHECK REQUIRED",IF(AND(G9="Transfer",OR(I9="",J9="",I9=J9)),"CHECK TRANSFER","OK"))))</f>
        <v/>
      </c>
    </row>
    <row r="10">
      <c r="A10" s="5" t="inlineStr">
        <is>
          <t>TXN-009</t>
        </is>
      </c>
      <c r="B10" s="6" t="n">
        <v>46302</v>
      </c>
      <c r="C10" s="7" t="inlineStr">
        <is>
          <t>14:25</t>
        </is>
      </c>
      <c r="D10" s="8">
        <f>B10+C10</f>
        <v/>
      </c>
      <c r="E10" s="5" t="inlineStr">
        <is>
          <t>SKU-1005</t>
        </is>
      </c>
      <c r="F10" s="5" t="inlineStr">
        <is>
          <t>USB-C Charger</t>
        </is>
      </c>
      <c r="G10" s="5" t="inlineStr">
        <is>
          <t>Issue</t>
        </is>
      </c>
      <c r="H10" s="5" t="n">
        <v>20</v>
      </c>
      <c r="I10" s="5" t="inlineStr">
        <is>
          <t>C-01</t>
        </is>
      </c>
      <c r="J10" s="5" t="inlineStr">
        <is>
          <t>Dispatch Bay</t>
        </is>
      </c>
      <c r="K10" s="5" t="inlineStr">
        <is>
          <t>SO-505</t>
        </is>
      </c>
      <c r="L10" s="5" t="inlineStr">
        <is>
          <t>M. Noor</t>
        </is>
      </c>
      <c r="M10" s="3" t="inlineStr">
        <is>
          <t>Order dispatched</t>
        </is>
      </c>
      <c r="N10" s="5">
        <f>IF(G10="Receipt",H10,IF(G10="Issue",-H10,0))</f>
        <v/>
      </c>
      <c r="O10" s="3">
        <f>IF(A10="","MISSING ID",IF(COUNTIF($A$2:$A$201,A10)&gt;1,"DUPLICATE ID",IF(OR(B10="",C10="",E10="",G10="",H10&lt;=0,L10="",K10=""),"CHECK REQUIRED",IF(AND(G10="Transfer",OR(I10="",J10="",I10=J10)),"CHECK TRANSFER","OK"))))</f>
        <v/>
      </c>
    </row>
    <row r="11">
      <c r="A11" s="5" t="inlineStr">
        <is>
          <t>TXN-010</t>
        </is>
      </c>
      <c r="B11" s="6" t="n">
        <v>46303</v>
      </c>
      <c r="C11" s="7" t="inlineStr">
        <is>
          <t>09:30</t>
        </is>
      </c>
      <c r="D11" s="8">
        <f>B11+C11</f>
        <v/>
      </c>
      <c r="E11" s="5" t="inlineStr">
        <is>
          <t>SKU-1004</t>
        </is>
      </c>
      <c r="F11" s="5" t="inlineStr">
        <is>
          <t>Laptop Stand</t>
        </is>
      </c>
      <c r="G11" s="5" t="inlineStr">
        <is>
          <t>Issue</t>
        </is>
      </c>
      <c r="H11" s="5" t="n">
        <v>10</v>
      </c>
      <c r="I11" s="5" t="inlineStr">
        <is>
          <t>B-02</t>
        </is>
      </c>
      <c r="J11" s="5" t="inlineStr">
        <is>
          <t>Dispatch Bay</t>
        </is>
      </c>
      <c r="K11" s="5" t="inlineStr">
        <is>
          <t>SO-506</t>
        </is>
      </c>
      <c r="L11" s="5" t="inlineStr">
        <is>
          <t>S. Ali</t>
        </is>
      </c>
      <c r="M11" s="3" t="inlineStr">
        <is>
          <t>Order dispatched</t>
        </is>
      </c>
      <c r="N11" s="5">
        <f>IF(G11="Receipt",H11,IF(G11="Issue",-H11,0))</f>
        <v/>
      </c>
      <c r="O11" s="3">
        <f>IF(A11="","MISSING ID",IF(COUNTIF($A$2:$A$201,A11)&gt;1,"DUPLICATE ID",IF(OR(B11="",C11="",E11="",G11="",H11&lt;=0,L11="",K11=""),"CHECK REQUIRED",IF(AND(G11="Transfer",OR(I11="",J11="",I11=J11)),"CHECK TRANSFER","OK"))))</f>
        <v/>
      </c>
    </row>
    <row r="12">
      <c r="A12" s="5" t="inlineStr">
        <is>
          <t>TXN-011</t>
        </is>
      </c>
      <c r="B12" s="6" t="n">
        <v>46303</v>
      </c>
      <c r="C12" s="7" t="inlineStr">
        <is>
          <t>11:45</t>
        </is>
      </c>
      <c r="D12" s="8">
        <f>B12+C12</f>
        <v/>
      </c>
      <c r="E12" s="5" t="inlineStr">
        <is>
          <t>SKU-1001</t>
        </is>
      </c>
      <c r="F12" s="5" t="inlineStr">
        <is>
          <t>Wireless Mouse</t>
        </is>
      </c>
      <c r="G12" s="5" t="inlineStr">
        <is>
          <t>Receipt</t>
        </is>
      </c>
      <c r="H12" s="5" t="n">
        <v>25</v>
      </c>
      <c r="I12" s="5" t="inlineStr">
        <is>
          <t>Receiving Dock</t>
        </is>
      </c>
      <c r="J12" s="5" t="inlineStr">
        <is>
          <t>A-01</t>
        </is>
      </c>
      <c r="K12" s="5" t="inlineStr">
        <is>
          <t>PO-704</t>
        </is>
      </c>
      <c r="L12" s="5" t="inlineStr">
        <is>
          <t>A. Khan</t>
        </is>
      </c>
      <c r="M12" s="3" t="inlineStr">
        <is>
          <t>Top-up stock received</t>
        </is>
      </c>
      <c r="N12" s="5">
        <f>IF(G12="Receipt",H12,IF(G12="Issue",-H12,0))</f>
        <v/>
      </c>
      <c r="O12" s="3">
        <f>IF(A12="","MISSING ID",IF(COUNTIF($A$2:$A$201,A12)&gt;1,"DUPLICATE ID",IF(OR(B12="",C12="",E12="",G12="",H12&lt;=0,L12="",K12=""),"CHECK REQUIRED",IF(AND(G12="Transfer",OR(I12="",J12="",I12=J12)),"CHECK TRANSFER","OK"))))</f>
        <v/>
      </c>
    </row>
    <row r="13">
      <c r="A13" s="5" t="inlineStr">
        <is>
          <t>TXN-012</t>
        </is>
      </c>
      <c r="B13" s="6" t="n">
        <v>46303</v>
      </c>
      <c r="C13" s="7" t="inlineStr">
        <is>
          <t>15:05</t>
        </is>
      </c>
      <c r="D13" s="8">
        <f>B13+C13</f>
        <v/>
      </c>
      <c r="E13" s="5" t="inlineStr">
        <is>
          <t>SKU-1002</t>
        </is>
      </c>
      <c r="F13" s="5" t="inlineStr">
        <is>
          <t>USB Keyboard</t>
        </is>
      </c>
      <c r="G13" s="5" t="inlineStr">
        <is>
          <t>Transfer</t>
        </is>
      </c>
      <c r="H13" s="5" t="n">
        <v>10</v>
      </c>
      <c r="I13" s="5" t="inlineStr">
        <is>
          <t>A-02</t>
        </is>
      </c>
      <c r="J13" s="5" t="inlineStr">
        <is>
          <t>A-04</t>
        </is>
      </c>
      <c r="K13" s="5" t="inlineStr">
        <is>
          <t>TR-102</t>
        </is>
      </c>
      <c r="L13" s="5" t="inlineStr">
        <is>
          <t>M. Noor</t>
        </is>
      </c>
      <c r="M13" s="3" t="inlineStr">
        <is>
          <t>Internal relocation; net stock unchanged</t>
        </is>
      </c>
      <c r="N13" s="5">
        <f>IF(G13="Receipt",H13,IF(G13="Issue",-H13,0))</f>
        <v/>
      </c>
      <c r="O13" s="3">
        <f>IF(A13="","MISSING ID",IF(COUNTIF($A$2:$A$201,A13)&gt;1,"DUPLICATE ID",IF(OR(B13="",C13="",E13="",G13="",H13&lt;=0,L13="",K13=""),"CHECK REQUIRED",IF(AND(G13="Transfer",OR(I13="",J13="",I13=J13)),"CHECK TRANSFER","OK"))))</f>
        <v/>
      </c>
    </row>
    <row r="14">
      <c r="A14" s="5" t="inlineStr">
        <is>
          <t>TXN-013</t>
        </is>
      </c>
      <c r="B14" s="6" t="n">
        <v>46304</v>
      </c>
      <c r="C14" s="7" t="inlineStr">
        <is>
          <t>09:00</t>
        </is>
      </c>
      <c r="D14" s="8">
        <f>B14+C14</f>
        <v/>
      </c>
      <c r="E14" s="5" t="inlineStr">
        <is>
          <t>SKU-1003</t>
        </is>
      </c>
      <c r="F14" s="5" t="inlineStr">
        <is>
          <t>HDMI Cable 2m</t>
        </is>
      </c>
      <c r="G14" s="5" t="inlineStr">
        <is>
          <t>Receipt</t>
        </is>
      </c>
      <c r="H14" s="5" t="n">
        <v>50</v>
      </c>
      <c r="I14" s="5" t="inlineStr">
        <is>
          <t>Receiving Dock</t>
        </is>
      </c>
      <c r="J14" s="5" t="inlineStr">
        <is>
          <t>B-01</t>
        </is>
      </c>
      <c r="K14" s="5" t="inlineStr">
        <is>
          <t>PO-705</t>
        </is>
      </c>
      <c r="L14" s="5" t="inlineStr">
        <is>
          <t>A. Khan</t>
        </is>
      </c>
      <c r="M14" s="3" t="inlineStr">
        <is>
          <t>Received and counted</t>
        </is>
      </c>
      <c r="N14" s="5">
        <f>IF(G14="Receipt",H14,IF(G14="Issue",-H14,0))</f>
        <v/>
      </c>
      <c r="O14" s="3">
        <f>IF(A14="","MISSING ID",IF(COUNTIF($A$2:$A$201,A14)&gt;1,"DUPLICATE ID",IF(OR(B14="",C14="",E14="",G14="",H14&lt;=0,L14="",K14=""),"CHECK REQUIRED",IF(AND(G14="Transfer",OR(I14="",J14="",I14=J14)),"CHECK TRANSFER","OK"))))</f>
        <v/>
      </c>
    </row>
    <row r="15">
      <c r="A15" s="5" t="inlineStr">
        <is>
          <t>TXN-014</t>
        </is>
      </c>
      <c r="B15" s="6" t="n">
        <v>46304</v>
      </c>
      <c r="C15" s="7" t="inlineStr">
        <is>
          <t>10:50</t>
        </is>
      </c>
      <c r="D15" s="8">
        <f>B15+C15</f>
        <v/>
      </c>
      <c r="E15" s="5" t="inlineStr">
        <is>
          <t>SKU-1005</t>
        </is>
      </c>
      <c r="F15" s="5" t="inlineStr">
        <is>
          <t>USB-C Charger</t>
        </is>
      </c>
      <c r="G15" s="5" t="inlineStr">
        <is>
          <t>Issue</t>
        </is>
      </c>
      <c r="H15" s="5" t="n">
        <v>22</v>
      </c>
      <c r="I15" s="5" t="inlineStr">
        <is>
          <t>C-01</t>
        </is>
      </c>
      <c r="J15" s="5" t="inlineStr">
        <is>
          <t>Dispatch Bay</t>
        </is>
      </c>
      <c r="K15" s="5" t="inlineStr">
        <is>
          <t>SO-507</t>
        </is>
      </c>
      <c r="L15" s="5" t="inlineStr">
        <is>
          <t>S. Ali</t>
        </is>
      </c>
      <c r="M15" s="3" t="inlineStr">
        <is>
          <t>Customer shipment</t>
        </is>
      </c>
      <c r="N15" s="5">
        <f>IF(G15="Receipt",H15,IF(G15="Issue",-H15,0))</f>
        <v/>
      </c>
      <c r="O15" s="3">
        <f>IF(A15="","MISSING ID",IF(COUNTIF($A$2:$A$201,A15)&gt;1,"DUPLICATE ID",IF(OR(B15="",C15="",E15="",G15="",H15&lt;=0,L15="",K15=""),"CHECK REQUIRED",IF(AND(G15="Transfer",OR(I15="",J15="",I15=J15)),"CHECK TRANSFER","OK"))))</f>
        <v/>
      </c>
    </row>
    <row r="16">
      <c r="A16" s="5" t="inlineStr">
        <is>
          <t>TXN-015</t>
        </is>
      </c>
      <c r="B16" s="6" t="n">
        <v>46304</v>
      </c>
      <c r="C16" s="7" t="inlineStr">
        <is>
          <t>13:20</t>
        </is>
      </c>
      <c r="D16" s="8">
        <f>B16+C16</f>
        <v/>
      </c>
      <c r="E16" s="5" t="inlineStr">
        <is>
          <t>SKU-1001</t>
        </is>
      </c>
      <c r="F16" s="5" t="inlineStr">
        <is>
          <t>Wireless Mouse</t>
        </is>
      </c>
      <c r="G16" s="5" t="inlineStr">
        <is>
          <t>Issue</t>
        </is>
      </c>
      <c r="H16" s="5" t="n">
        <v>30</v>
      </c>
      <c r="I16" s="5" t="inlineStr">
        <is>
          <t>A-01</t>
        </is>
      </c>
      <c r="J16" s="5" t="inlineStr">
        <is>
          <t>Dispatch Bay</t>
        </is>
      </c>
      <c r="K16" s="5" t="inlineStr">
        <is>
          <t>SO-508</t>
        </is>
      </c>
      <c r="L16" s="5" t="inlineStr">
        <is>
          <t>M. Noor</t>
        </is>
      </c>
      <c r="M16" s="3" t="inlineStr">
        <is>
          <t>Order dispatched</t>
        </is>
      </c>
      <c r="N16" s="5">
        <f>IF(G16="Receipt",H16,IF(G16="Issue",-H16,0))</f>
        <v/>
      </c>
      <c r="O16" s="3">
        <f>IF(A16="","MISSING ID",IF(COUNTIF($A$2:$A$201,A16)&gt;1,"DUPLICATE ID",IF(OR(B16="",C16="",E16="",G16="",H16&lt;=0,L16="",K16=""),"CHECK REQUIRED",IF(AND(G16="Transfer",OR(I16="",J16="",I16=J16)),"CHECK TRANSFER","OK"))))</f>
        <v/>
      </c>
    </row>
    <row r="17">
      <c r="A17" s="5" t="inlineStr">
        <is>
          <t>TXN-016</t>
        </is>
      </c>
      <c r="B17" s="6" t="n">
        <v>46305</v>
      </c>
      <c r="C17" s="7" t="inlineStr">
        <is>
          <t>09:40</t>
        </is>
      </c>
      <c r="D17" s="8">
        <f>B17+C17</f>
        <v/>
      </c>
      <c r="E17" s="5" t="inlineStr">
        <is>
          <t>SKU-1004</t>
        </is>
      </c>
      <c r="F17" s="5" t="inlineStr">
        <is>
          <t>Laptop Stand</t>
        </is>
      </c>
      <c r="G17" s="5" t="inlineStr">
        <is>
          <t>Receipt</t>
        </is>
      </c>
      <c r="H17" s="5" t="n">
        <v>10</v>
      </c>
      <c r="I17" s="5" t="inlineStr">
        <is>
          <t>Receiving Dock</t>
        </is>
      </c>
      <c r="J17" s="5" t="inlineStr">
        <is>
          <t>B-02</t>
        </is>
      </c>
      <c r="K17" s="5" t="inlineStr">
        <is>
          <t>PO-706</t>
        </is>
      </c>
      <c r="L17" s="5" t="inlineStr">
        <is>
          <t>A. Khan</t>
        </is>
      </c>
      <c r="M17" s="3" t="inlineStr">
        <is>
          <t>Small replenishment</t>
        </is>
      </c>
      <c r="N17" s="5">
        <f>IF(G17="Receipt",H17,IF(G17="Issue",-H17,0))</f>
        <v/>
      </c>
      <c r="O17" s="3">
        <f>IF(A17="","MISSING ID",IF(COUNTIF($A$2:$A$201,A17)&gt;1,"DUPLICATE ID",IF(OR(B17="",C17="",E17="",G17="",H17&lt;=0,L17="",K17=""),"CHECK REQUIRED",IF(AND(G17="Transfer",OR(I17="",J17="",I17=J17)),"CHECK TRANSFER","OK"))))</f>
        <v/>
      </c>
    </row>
    <row r="18">
      <c r="A18" s="5" t="inlineStr">
        <is>
          <t>TXN-017</t>
        </is>
      </c>
      <c r="B18" s="6" t="n">
        <v>46305</v>
      </c>
      <c r="C18" s="7" t="inlineStr">
        <is>
          <t>11:30</t>
        </is>
      </c>
      <c r="D18" s="8">
        <f>B18+C18</f>
        <v/>
      </c>
      <c r="E18" s="5" t="inlineStr">
        <is>
          <t>SKU-1002</t>
        </is>
      </c>
      <c r="F18" s="5" t="inlineStr">
        <is>
          <t>USB Keyboard</t>
        </is>
      </c>
      <c r="G18" s="5" t="inlineStr">
        <is>
          <t>Issue</t>
        </is>
      </c>
      <c r="H18" s="5" t="n">
        <v>20</v>
      </c>
      <c r="I18" s="5" t="inlineStr">
        <is>
          <t>A-02</t>
        </is>
      </c>
      <c r="J18" s="5" t="inlineStr">
        <is>
          <t>Dispatch Bay</t>
        </is>
      </c>
      <c r="K18" s="5" t="inlineStr">
        <is>
          <t>SO-509</t>
        </is>
      </c>
      <c r="L18" s="5" t="inlineStr">
        <is>
          <t>S. Ali</t>
        </is>
      </c>
      <c r="M18" s="3" t="inlineStr">
        <is>
          <t>Customer shipment</t>
        </is>
      </c>
      <c r="N18" s="5">
        <f>IF(G18="Receipt",H18,IF(G18="Issue",-H18,0))</f>
        <v/>
      </c>
      <c r="O18" s="3">
        <f>IF(A18="","MISSING ID",IF(COUNTIF($A$2:$A$201,A18)&gt;1,"DUPLICATE ID",IF(OR(B18="",C18="",E18="",G18="",H18&lt;=0,L18="",K18=""),"CHECK REQUIRED",IF(AND(G18="Transfer",OR(I18="",J18="",I18=J18)),"CHECK TRANSFER","OK"))))</f>
        <v/>
      </c>
    </row>
    <row r="19">
      <c r="A19" s="5" t="inlineStr">
        <is>
          <t>TXN-018</t>
        </is>
      </c>
      <c r="B19" s="6" t="n">
        <v>46305</v>
      </c>
      <c r="C19" s="7" t="inlineStr">
        <is>
          <t>14:10</t>
        </is>
      </c>
      <c r="D19" s="8">
        <f>B19+C19</f>
        <v/>
      </c>
      <c r="E19" s="5" t="inlineStr">
        <is>
          <t>SKU-1003</t>
        </is>
      </c>
      <c r="F19" s="5" t="inlineStr">
        <is>
          <t>HDMI Cable 2m</t>
        </is>
      </c>
      <c r="G19" s="5" t="inlineStr">
        <is>
          <t>Transfer</t>
        </is>
      </c>
      <c r="H19" s="5" t="n">
        <v>20</v>
      </c>
      <c r="I19" s="5" t="inlineStr">
        <is>
          <t>B-01</t>
        </is>
      </c>
      <c r="J19" s="5" t="inlineStr">
        <is>
          <t>B-03</t>
        </is>
      </c>
      <c r="K19" s="5" t="inlineStr">
        <is>
          <t>TR-103</t>
        </is>
      </c>
      <c r="L19" s="5" t="inlineStr">
        <is>
          <t>M. Noor</t>
        </is>
      </c>
      <c r="M19" s="3" t="inlineStr">
        <is>
          <t>Internal relocation; net stock unchanged</t>
        </is>
      </c>
      <c r="N19" s="5">
        <f>IF(G19="Receipt",H19,IF(G19="Issue",-H19,0))</f>
        <v/>
      </c>
      <c r="O19" s="3">
        <f>IF(A19="","MISSING ID",IF(COUNTIF($A$2:$A$201,A19)&gt;1,"DUPLICATE ID",IF(OR(B19="",C19="",E19="",G19="",H19&lt;=0,L19="",K19=""),"CHECK REQUIRED",IF(AND(G19="Transfer",OR(I19="",J19="",I19=J19)),"CHECK TRANSFER","OK"))))</f>
        <v/>
      </c>
    </row>
    <row r="20">
      <c r="A20" s="5" t="inlineStr">
        <is>
          <t>TXN-019</t>
        </is>
      </c>
      <c r="B20" s="6" t="n">
        <v>46306</v>
      </c>
      <c r="C20" s="7" t="inlineStr">
        <is>
          <t>10:00</t>
        </is>
      </c>
      <c r="D20" s="8">
        <f>B20+C20</f>
        <v/>
      </c>
      <c r="E20" s="5" t="inlineStr">
        <is>
          <t>SKU-1005</t>
        </is>
      </c>
      <c r="F20" s="5" t="inlineStr">
        <is>
          <t>USB-C Charger</t>
        </is>
      </c>
      <c r="G20" s="5" t="inlineStr">
        <is>
          <t>Receipt</t>
        </is>
      </c>
      <c r="H20" s="5" t="n">
        <v>25</v>
      </c>
      <c r="I20" s="5" t="inlineStr">
        <is>
          <t>Receiving Dock</t>
        </is>
      </c>
      <c r="J20" s="5" t="inlineStr">
        <is>
          <t>C-01</t>
        </is>
      </c>
      <c r="K20" s="5" t="inlineStr">
        <is>
          <t>PO-707</t>
        </is>
      </c>
      <c r="L20" s="5" t="inlineStr">
        <is>
          <t>A. Khan</t>
        </is>
      </c>
      <c r="M20" s="3" t="inlineStr">
        <is>
          <t>Weekend receiving simulation</t>
        </is>
      </c>
      <c r="N20" s="5">
        <f>IF(G20="Receipt",H20,IF(G20="Issue",-H20,0))</f>
        <v/>
      </c>
      <c r="O20" s="3">
        <f>IF(A20="","MISSING ID",IF(COUNTIF($A$2:$A$201,A20)&gt;1,"DUPLICATE ID",IF(OR(B20="",C20="",E20="",G20="",H20&lt;=0,L20="",K20=""),"CHECK REQUIRED",IF(AND(G20="Transfer",OR(I20="",J20="",I20=J20)),"CHECK TRANSFER","OK"))))</f>
        <v/>
      </c>
    </row>
    <row r="21">
      <c r="A21" s="5" t="inlineStr">
        <is>
          <t>TXN-020</t>
        </is>
      </c>
      <c r="B21" s="6" t="n">
        <v>46306</v>
      </c>
      <c r="C21" s="7" t="inlineStr">
        <is>
          <t>12:15</t>
        </is>
      </c>
      <c r="D21" s="8">
        <f>B21+C21</f>
        <v/>
      </c>
      <c r="E21" s="5" t="inlineStr">
        <is>
          <t>SKU-1001</t>
        </is>
      </c>
      <c r="F21" s="5" t="inlineStr">
        <is>
          <t>Wireless Mouse</t>
        </is>
      </c>
      <c r="G21" s="5" t="inlineStr">
        <is>
          <t>Issue</t>
        </is>
      </c>
      <c r="H21" s="5" t="n">
        <v>15</v>
      </c>
      <c r="I21" s="5" t="inlineStr">
        <is>
          <t>A-01</t>
        </is>
      </c>
      <c r="J21" s="5" t="inlineStr">
        <is>
          <t>Dispatch Bay</t>
        </is>
      </c>
      <c r="K21" s="5" t="inlineStr">
        <is>
          <t>SO-510</t>
        </is>
      </c>
      <c r="L21" s="5" t="inlineStr">
        <is>
          <t>S. Ali</t>
        </is>
      </c>
      <c r="M21" s="3" t="inlineStr">
        <is>
          <t>Weekend dispatch simulation</t>
        </is>
      </c>
      <c r="N21" s="5">
        <f>IF(G21="Receipt",H21,IF(G21="Issue",-H21,0))</f>
        <v/>
      </c>
      <c r="O21" s="3">
        <f>IF(A21="","MISSING ID",IF(COUNTIF($A$2:$A$201,A21)&gt;1,"DUPLICATE ID",IF(OR(B21="",C21="",E21="",G21="",H21&lt;=0,L21="",K21=""),"CHECK REQUIRED",IF(AND(G21="Transfer",OR(I21="",J21="",I21=J21)),"CHECK TRANSFER","OK"))))</f>
        <v/>
      </c>
    </row>
    <row r="22">
      <c r="A22" s="5" t="n"/>
      <c r="B22" s="6" t="n"/>
      <c r="C22" s="7" t="n"/>
      <c r="D22" s="8">
        <f>IF(OR(B22="",C22=""),"",B22+C22)</f>
        <v/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3" t="n"/>
      <c r="N22" s="5">
        <f>IF(G22="Receipt",H22,IF(G22="Issue",-H22,0))</f>
        <v/>
      </c>
      <c r="O22" s="3">
        <f>IF(A22="","",IF(COUNTIF($A$2:$A$201,A22)&gt;1,"DUPLICATE ID",IF(OR(B22="",C22="",E22="",G22="",H22&lt;=0,L22="",K22=""),"CHECK REQUIRED",IF(AND(G22="Transfer",OR(I22="",J22="",I22=J22)),"CHECK TRANSFER","OK"))))</f>
        <v/>
      </c>
    </row>
    <row r="23">
      <c r="A23" s="5" t="n"/>
      <c r="B23" s="6" t="n"/>
      <c r="C23" s="7" t="n"/>
      <c r="D23" s="8">
        <f>IF(OR(B23="",C23=""),"",B23+C23)</f>
        <v/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3" t="n"/>
      <c r="N23" s="5">
        <f>IF(G23="Receipt",H23,IF(G23="Issue",-H23,0))</f>
        <v/>
      </c>
      <c r="O23" s="3">
        <f>IF(A23="","",IF(COUNTIF($A$2:$A$201,A23)&gt;1,"DUPLICATE ID",IF(OR(B23="",C23="",E23="",G23="",H23&lt;=0,L23="",K23=""),"CHECK REQUIRED",IF(AND(G23="Transfer",OR(I23="",J23="",I23=J23)),"CHECK TRANSFER","OK"))))</f>
        <v/>
      </c>
    </row>
    <row r="24">
      <c r="A24" s="5" t="n"/>
      <c r="B24" s="6" t="n"/>
      <c r="C24" s="7" t="n"/>
      <c r="D24" s="8">
        <f>IF(OR(B24="",C24=""),"",B24+C24)</f>
        <v/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3" t="n"/>
      <c r="N24" s="5">
        <f>IF(G24="Receipt",H24,IF(G24="Issue",-H24,0))</f>
        <v/>
      </c>
      <c r="O24" s="3">
        <f>IF(A24="","",IF(COUNTIF($A$2:$A$201,A24)&gt;1,"DUPLICATE ID",IF(OR(B24="",C24="",E24="",G24="",H24&lt;=0,L24="",K24=""),"CHECK REQUIRED",IF(AND(G24="Transfer",OR(I24="",J24="",I24=J24)),"CHECK TRANSFER","OK"))))</f>
        <v/>
      </c>
    </row>
    <row r="25">
      <c r="A25" s="5" t="n"/>
      <c r="B25" s="6" t="n"/>
      <c r="C25" s="7" t="n"/>
      <c r="D25" s="8">
        <f>IF(OR(B25="",C25=""),"",B25+C25)</f>
        <v/>
      </c>
      <c r="E25" s="5" t="n"/>
      <c r="F25" s="5" t="n"/>
      <c r="G25" s="5" t="n"/>
      <c r="H25" s="5" t="n"/>
      <c r="I25" s="5" t="n"/>
      <c r="J25" s="5" t="n"/>
      <c r="K25" s="5" t="n"/>
      <c r="L25" s="5" t="n"/>
      <c r="M25" s="3" t="n"/>
      <c r="N25" s="5">
        <f>IF(G25="Receipt",H25,IF(G25="Issue",-H25,0))</f>
        <v/>
      </c>
      <c r="O25" s="3">
        <f>IF(A25="","",IF(COUNTIF($A$2:$A$201,A25)&gt;1,"DUPLICATE ID",IF(OR(B25="",C25="",E25="",G25="",H25&lt;=0,L25="",K25=""),"CHECK REQUIRED",IF(AND(G25="Transfer",OR(I25="",J25="",I25=J25)),"CHECK TRANSFER","OK"))))</f>
        <v/>
      </c>
    </row>
    <row r="26">
      <c r="A26" s="5" t="n"/>
      <c r="B26" s="6" t="n"/>
      <c r="C26" s="7" t="n"/>
      <c r="D26" s="8">
        <f>IF(OR(B26="",C26=""),"",B26+C26)</f>
        <v/>
      </c>
      <c r="E26" s="5" t="n"/>
      <c r="F26" s="5" t="n"/>
      <c r="G26" s="5" t="n"/>
      <c r="H26" s="5" t="n"/>
      <c r="I26" s="5" t="n"/>
      <c r="J26" s="5" t="n"/>
      <c r="K26" s="5" t="n"/>
      <c r="L26" s="5" t="n"/>
      <c r="M26" s="3" t="n"/>
      <c r="N26" s="5">
        <f>IF(G26="Receipt",H26,IF(G26="Issue",-H26,0))</f>
        <v/>
      </c>
      <c r="O26" s="3">
        <f>IF(A26="","",IF(COUNTIF($A$2:$A$201,A26)&gt;1,"DUPLICATE ID",IF(OR(B26="",C26="",E26="",G26="",H26&lt;=0,L26="",K26=""),"CHECK REQUIRED",IF(AND(G26="Transfer",OR(I26="",J26="",I26=J26)),"CHECK TRANSFER","OK"))))</f>
        <v/>
      </c>
    </row>
    <row r="27">
      <c r="A27" s="5" t="n"/>
      <c r="B27" s="6" t="n"/>
      <c r="C27" s="7" t="n"/>
      <c r="D27" s="8">
        <f>IF(OR(B27="",C27=""),"",B27+C27)</f>
        <v/>
      </c>
      <c r="E27" s="5" t="n"/>
      <c r="F27" s="5" t="n"/>
      <c r="G27" s="5" t="n"/>
      <c r="H27" s="5" t="n"/>
      <c r="I27" s="5" t="n"/>
      <c r="J27" s="5" t="n"/>
      <c r="K27" s="5" t="n"/>
      <c r="L27" s="5" t="n"/>
      <c r="M27" s="3" t="n"/>
      <c r="N27" s="5">
        <f>IF(G27="Receipt",H27,IF(G27="Issue",-H27,0))</f>
        <v/>
      </c>
      <c r="O27" s="3">
        <f>IF(A27="","",IF(COUNTIF($A$2:$A$201,A27)&gt;1,"DUPLICATE ID",IF(OR(B27="",C27="",E27="",G27="",H27&lt;=0,L27="",K27=""),"CHECK REQUIRED",IF(AND(G27="Transfer",OR(I27="",J27="",I27=J27)),"CHECK TRANSFER","OK"))))</f>
        <v/>
      </c>
    </row>
    <row r="28">
      <c r="A28" s="5" t="n"/>
      <c r="B28" s="6" t="n"/>
      <c r="C28" s="7" t="n"/>
      <c r="D28" s="8">
        <f>IF(OR(B28="",C28=""),"",B28+C28)</f>
        <v/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3" t="n"/>
      <c r="N28" s="5">
        <f>IF(G28="Receipt",H28,IF(G28="Issue",-H28,0))</f>
        <v/>
      </c>
      <c r="O28" s="3">
        <f>IF(A28="","",IF(COUNTIF($A$2:$A$201,A28)&gt;1,"DUPLICATE ID",IF(OR(B28="",C28="",E28="",G28="",H28&lt;=0,L28="",K28=""),"CHECK REQUIRED",IF(AND(G28="Transfer",OR(I28="",J28="",I28=J28)),"CHECK TRANSFER","OK"))))</f>
        <v/>
      </c>
    </row>
    <row r="29">
      <c r="A29" s="5" t="n"/>
      <c r="B29" s="6" t="n"/>
      <c r="C29" s="7" t="n"/>
      <c r="D29" s="8">
        <f>IF(OR(B29="",C29=""),"",B29+C29)</f>
        <v/>
      </c>
      <c r="E29" s="5" t="n"/>
      <c r="F29" s="5" t="n"/>
      <c r="G29" s="5" t="n"/>
      <c r="H29" s="5" t="n"/>
      <c r="I29" s="5" t="n"/>
      <c r="J29" s="5" t="n"/>
      <c r="K29" s="5" t="n"/>
      <c r="L29" s="5" t="n"/>
      <c r="M29" s="3" t="n"/>
      <c r="N29" s="5">
        <f>IF(G29="Receipt",H29,IF(G29="Issue",-H29,0))</f>
        <v/>
      </c>
      <c r="O29" s="3">
        <f>IF(A29="","",IF(COUNTIF($A$2:$A$201,A29)&gt;1,"DUPLICATE ID",IF(OR(B29="",C29="",E29="",G29="",H29&lt;=0,L29="",K29=""),"CHECK REQUIRED",IF(AND(G29="Transfer",OR(I29="",J29="",I29=J29)),"CHECK TRANSFER","OK"))))</f>
        <v/>
      </c>
    </row>
    <row r="30">
      <c r="A30" s="5" t="n"/>
      <c r="B30" s="6" t="n"/>
      <c r="C30" s="7" t="n"/>
      <c r="D30" s="8">
        <f>IF(OR(B30="",C30=""),"",B30+C30)</f>
        <v/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3" t="n"/>
      <c r="N30" s="5">
        <f>IF(G30="Receipt",H30,IF(G30="Issue",-H30,0))</f>
        <v/>
      </c>
      <c r="O30" s="3">
        <f>IF(A30="","",IF(COUNTIF($A$2:$A$201,A30)&gt;1,"DUPLICATE ID",IF(OR(B30="",C30="",E30="",G30="",H30&lt;=0,L30="",K30=""),"CHECK REQUIRED",IF(AND(G30="Transfer",OR(I30="",J30="",I30=J30)),"CHECK TRANSFER","OK"))))</f>
        <v/>
      </c>
    </row>
    <row r="31">
      <c r="A31" s="5" t="n"/>
      <c r="B31" s="6" t="n"/>
      <c r="C31" s="7" t="n"/>
      <c r="D31" s="8">
        <f>IF(OR(B31="",C31=""),"",B31+C31)</f>
        <v/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3" t="n"/>
      <c r="N31" s="5">
        <f>IF(G31="Receipt",H31,IF(G31="Issue",-H31,0))</f>
        <v/>
      </c>
      <c r="O31" s="3">
        <f>IF(A31="","",IF(COUNTIF($A$2:$A$201,A31)&gt;1,"DUPLICATE ID",IF(OR(B31="",C31="",E31="",G31="",H31&lt;=0,L31="",K31=""),"CHECK REQUIRED",IF(AND(G31="Transfer",OR(I31="",J31="",I31=J31)),"CHECK TRANSFER","OK"))))</f>
        <v/>
      </c>
    </row>
    <row r="32">
      <c r="A32" s="5" t="n"/>
      <c r="B32" s="6" t="n"/>
      <c r="C32" s="7" t="n"/>
      <c r="D32" s="8">
        <f>IF(OR(B32="",C32=""),"",B32+C32)</f>
        <v/>
      </c>
      <c r="E32" s="5" t="n"/>
      <c r="F32" s="5" t="n"/>
      <c r="G32" s="5" t="n"/>
      <c r="H32" s="5" t="n"/>
      <c r="I32" s="5" t="n"/>
      <c r="J32" s="5" t="n"/>
      <c r="K32" s="5" t="n"/>
      <c r="L32" s="5" t="n"/>
      <c r="M32" s="3" t="n"/>
      <c r="N32" s="5">
        <f>IF(G32="Receipt",H32,IF(G32="Issue",-H32,0))</f>
        <v/>
      </c>
      <c r="O32" s="3">
        <f>IF(A32="","",IF(COUNTIF($A$2:$A$201,A32)&gt;1,"DUPLICATE ID",IF(OR(B32="",C32="",E32="",G32="",H32&lt;=0,L32="",K32=""),"CHECK REQUIRED",IF(AND(G32="Transfer",OR(I32="",J32="",I32=J32)),"CHECK TRANSFER","OK"))))</f>
        <v/>
      </c>
    </row>
    <row r="33">
      <c r="A33" s="5" t="n"/>
      <c r="B33" s="6" t="n"/>
      <c r="C33" s="7" t="n"/>
      <c r="D33" s="8">
        <f>IF(OR(B33="",C33=""),"",B33+C33)</f>
        <v/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3" t="n"/>
      <c r="N33" s="5">
        <f>IF(G33="Receipt",H33,IF(G33="Issue",-H33,0))</f>
        <v/>
      </c>
      <c r="O33" s="3">
        <f>IF(A33="","",IF(COUNTIF($A$2:$A$201,A33)&gt;1,"DUPLICATE ID",IF(OR(B33="",C33="",E33="",G33="",H33&lt;=0,L33="",K33=""),"CHECK REQUIRED",IF(AND(G33="Transfer",OR(I33="",J33="",I33=J33)),"CHECK TRANSFER","OK"))))</f>
        <v/>
      </c>
    </row>
    <row r="34">
      <c r="A34" s="5" t="n"/>
      <c r="B34" s="6" t="n"/>
      <c r="C34" s="7" t="n"/>
      <c r="D34" s="8">
        <f>IF(OR(B34="",C34=""),"",B34+C34)</f>
        <v/>
      </c>
      <c r="E34" s="5" t="n"/>
      <c r="F34" s="5" t="n"/>
      <c r="G34" s="5" t="n"/>
      <c r="H34" s="5" t="n"/>
      <c r="I34" s="5" t="n"/>
      <c r="J34" s="5" t="n"/>
      <c r="K34" s="5" t="n"/>
      <c r="L34" s="5" t="n"/>
      <c r="M34" s="3" t="n"/>
      <c r="N34" s="5">
        <f>IF(G34="Receipt",H34,IF(G34="Issue",-H34,0))</f>
        <v/>
      </c>
      <c r="O34" s="3">
        <f>IF(A34="","",IF(COUNTIF($A$2:$A$201,A34)&gt;1,"DUPLICATE ID",IF(OR(B34="",C34="",E34="",G34="",H34&lt;=0,L34="",K34=""),"CHECK REQUIRED",IF(AND(G34="Transfer",OR(I34="",J34="",I34=J34)),"CHECK TRANSFER","OK"))))</f>
        <v/>
      </c>
    </row>
    <row r="35">
      <c r="A35" s="5" t="n"/>
      <c r="B35" s="6" t="n"/>
      <c r="C35" s="7" t="n"/>
      <c r="D35" s="8">
        <f>IF(OR(B35="",C35=""),"",B35+C35)</f>
        <v/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3" t="n"/>
      <c r="N35" s="5">
        <f>IF(G35="Receipt",H35,IF(G35="Issue",-H35,0))</f>
        <v/>
      </c>
      <c r="O35" s="3">
        <f>IF(A35="","",IF(COUNTIF($A$2:$A$201,A35)&gt;1,"DUPLICATE ID",IF(OR(B35="",C35="",E35="",G35="",H35&lt;=0,L35="",K35=""),"CHECK REQUIRED",IF(AND(G35="Transfer",OR(I35="",J35="",I35=J35)),"CHECK TRANSFER","OK"))))</f>
        <v/>
      </c>
    </row>
    <row r="36">
      <c r="A36" s="5" t="n"/>
      <c r="B36" s="6" t="n"/>
      <c r="C36" s="7" t="n"/>
      <c r="D36" s="8">
        <f>IF(OR(B36="",C36=""),"",B36+C36)</f>
        <v/>
      </c>
      <c r="E36" s="5" t="n"/>
      <c r="F36" s="5" t="n"/>
      <c r="G36" s="5" t="n"/>
      <c r="H36" s="5" t="n"/>
      <c r="I36" s="5" t="n"/>
      <c r="J36" s="5" t="n"/>
      <c r="K36" s="5" t="n"/>
      <c r="L36" s="5" t="n"/>
      <c r="M36" s="3" t="n"/>
      <c r="N36" s="5">
        <f>IF(G36="Receipt",H36,IF(G36="Issue",-H36,0))</f>
        <v/>
      </c>
      <c r="O36" s="3">
        <f>IF(A36="","",IF(COUNTIF($A$2:$A$201,A36)&gt;1,"DUPLICATE ID",IF(OR(B36="",C36="",E36="",G36="",H36&lt;=0,L36="",K36=""),"CHECK REQUIRED",IF(AND(G36="Transfer",OR(I36="",J36="",I36=J36)),"CHECK TRANSFER","OK"))))</f>
        <v/>
      </c>
    </row>
    <row r="37">
      <c r="A37" s="5" t="n"/>
      <c r="B37" s="6" t="n"/>
      <c r="C37" s="7" t="n"/>
      <c r="D37" s="8">
        <f>IF(OR(B37="",C37=""),"",B37+C37)</f>
        <v/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3" t="n"/>
      <c r="N37" s="5">
        <f>IF(G37="Receipt",H37,IF(G37="Issue",-H37,0))</f>
        <v/>
      </c>
      <c r="O37" s="3">
        <f>IF(A37="","",IF(COUNTIF($A$2:$A$201,A37)&gt;1,"DUPLICATE ID",IF(OR(B37="",C37="",E37="",G37="",H37&lt;=0,L37="",K37=""),"CHECK REQUIRED",IF(AND(G37="Transfer",OR(I37="",J37="",I37=J37)),"CHECK TRANSFER","OK"))))</f>
        <v/>
      </c>
    </row>
    <row r="38">
      <c r="A38" s="5" t="n"/>
      <c r="B38" s="6" t="n"/>
      <c r="C38" s="7" t="n"/>
      <c r="D38" s="8">
        <f>IF(OR(B38="",C38=""),"",B38+C38)</f>
        <v/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3" t="n"/>
      <c r="N38" s="5">
        <f>IF(G38="Receipt",H38,IF(G38="Issue",-H38,0))</f>
        <v/>
      </c>
      <c r="O38" s="3">
        <f>IF(A38="","",IF(COUNTIF($A$2:$A$201,A38)&gt;1,"DUPLICATE ID",IF(OR(B38="",C38="",E38="",G38="",H38&lt;=0,L38="",K38=""),"CHECK REQUIRED",IF(AND(G38="Transfer",OR(I38="",J38="",I38=J38)),"CHECK TRANSFER","OK"))))</f>
        <v/>
      </c>
    </row>
    <row r="39">
      <c r="A39" s="5" t="n"/>
      <c r="B39" s="6" t="n"/>
      <c r="C39" s="7" t="n"/>
      <c r="D39" s="8">
        <f>IF(OR(B39="",C39=""),"",B39+C39)</f>
        <v/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3" t="n"/>
      <c r="N39" s="5">
        <f>IF(G39="Receipt",H39,IF(G39="Issue",-H39,0))</f>
        <v/>
      </c>
      <c r="O39" s="3">
        <f>IF(A39="","",IF(COUNTIF($A$2:$A$201,A39)&gt;1,"DUPLICATE ID",IF(OR(B39="",C39="",E39="",G39="",H39&lt;=0,L39="",K39=""),"CHECK REQUIRED",IF(AND(G39="Transfer",OR(I39="",J39="",I39=J39)),"CHECK TRANSFER","OK"))))</f>
        <v/>
      </c>
    </row>
    <row r="40">
      <c r="A40" s="5" t="n"/>
      <c r="B40" s="6" t="n"/>
      <c r="C40" s="7" t="n"/>
      <c r="D40" s="8">
        <f>IF(OR(B40="",C40=""),"",B40+C40)</f>
        <v/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3" t="n"/>
      <c r="N40" s="5">
        <f>IF(G40="Receipt",H40,IF(G40="Issue",-H40,0))</f>
        <v/>
      </c>
      <c r="O40" s="3">
        <f>IF(A40="","",IF(COUNTIF($A$2:$A$201,A40)&gt;1,"DUPLICATE ID",IF(OR(B40="",C40="",E40="",G40="",H40&lt;=0,L40="",K40=""),"CHECK REQUIRED",IF(AND(G40="Transfer",OR(I40="",J40="",I40=J40)),"CHECK TRANSFER","OK"))))</f>
        <v/>
      </c>
    </row>
    <row r="41">
      <c r="A41" s="5" t="n"/>
      <c r="B41" s="6" t="n"/>
      <c r="C41" s="7" t="n"/>
      <c r="D41" s="8">
        <f>IF(OR(B41="",C41=""),"",B41+C41)</f>
        <v/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3" t="n"/>
      <c r="N41" s="5">
        <f>IF(G41="Receipt",H41,IF(G41="Issue",-H41,0))</f>
        <v/>
      </c>
      <c r="O41" s="3">
        <f>IF(A41="","",IF(COUNTIF($A$2:$A$201,A41)&gt;1,"DUPLICATE ID",IF(OR(B41="",C41="",E41="",G41="",H41&lt;=0,L41="",K41=""),"CHECK REQUIRED",IF(AND(G41="Transfer",OR(I41="",J41="",I41=J41)),"CHECK TRANSFER","OK"))))</f>
        <v/>
      </c>
    </row>
    <row r="42">
      <c r="A42" s="5" t="n"/>
      <c r="B42" s="6" t="n"/>
      <c r="C42" s="7" t="n"/>
      <c r="D42" s="8">
        <f>IF(OR(B42="",C42=""),"",B42+C42)</f>
        <v/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3" t="n"/>
      <c r="N42" s="5">
        <f>IF(G42="Receipt",H42,IF(G42="Issue",-H42,0))</f>
        <v/>
      </c>
      <c r="O42" s="3">
        <f>IF(A42="","",IF(COUNTIF($A$2:$A$201,A42)&gt;1,"DUPLICATE ID",IF(OR(B42="",C42="",E42="",G42="",H42&lt;=0,L42="",K42=""),"CHECK REQUIRED",IF(AND(G42="Transfer",OR(I42="",J42="",I42=J42)),"CHECK TRANSFER","OK"))))</f>
        <v/>
      </c>
    </row>
    <row r="43">
      <c r="A43" s="5" t="n"/>
      <c r="B43" s="6" t="n"/>
      <c r="C43" s="7" t="n"/>
      <c r="D43" s="8">
        <f>IF(OR(B43="",C43=""),"",B43+C43)</f>
        <v/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3" t="n"/>
      <c r="N43" s="5">
        <f>IF(G43="Receipt",H43,IF(G43="Issue",-H43,0))</f>
        <v/>
      </c>
      <c r="O43" s="3">
        <f>IF(A43="","",IF(COUNTIF($A$2:$A$201,A43)&gt;1,"DUPLICATE ID",IF(OR(B43="",C43="",E43="",G43="",H43&lt;=0,L43="",K43=""),"CHECK REQUIRED",IF(AND(G43="Transfer",OR(I43="",J43="",I43=J43)),"CHECK TRANSFER","OK"))))</f>
        <v/>
      </c>
    </row>
    <row r="44">
      <c r="A44" s="5" t="n"/>
      <c r="B44" s="6" t="n"/>
      <c r="C44" s="7" t="n"/>
      <c r="D44" s="8">
        <f>IF(OR(B44="",C44=""),"",B44+C44)</f>
        <v/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3" t="n"/>
      <c r="N44" s="5">
        <f>IF(G44="Receipt",H44,IF(G44="Issue",-H44,0))</f>
        <v/>
      </c>
      <c r="O44" s="3">
        <f>IF(A44="","",IF(COUNTIF($A$2:$A$201,A44)&gt;1,"DUPLICATE ID",IF(OR(B44="",C44="",E44="",G44="",H44&lt;=0,L44="",K44=""),"CHECK REQUIRED",IF(AND(G44="Transfer",OR(I44="",J44="",I44=J44)),"CHECK TRANSFER","OK"))))</f>
        <v/>
      </c>
    </row>
    <row r="45">
      <c r="A45" s="5" t="n"/>
      <c r="B45" s="6" t="n"/>
      <c r="C45" s="7" t="n"/>
      <c r="D45" s="8">
        <f>IF(OR(B45="",C45=""),"",B45+C45)</f>
        <v/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3" t="n"/>
      <c r="N45" s="5">
        <f>IF(G45="Receipt",H45,IF(G45="Issue",-H45,0))</f>
        <v/>
      </c>
      <c r="O45" s="3">
        <f>IF(A45="","",IF(COUNTIF($A$2:$A$201,A45)&gt;1,"DUPLICATE ID",IF(OR(B45="",C45="",E45="",G45="",H45&lt;=0,L45="",K45=""),"CHECK REQUIRED",IF(AND(G45="Transfer",OR(I45="",J45="",I45=J45)),"CHECK TRANSFER","OK"))))</f>
        <v/>
      </c>
    </row>
    <row r="46">
      <c r="A46" s="5" t="n"/>
      <c r="B46" s="6" t="n"/>
      <c r="C46" s="7" t="n"/>
      <c r="D46" s="8">
        <f>IF(OR(B46="",C46=""),"",B46+C46)</f>
        <v/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3" t="n"/>
      <c r="N46" s="5">
        <f>IF(G46="Receipt",H46,IF(G46="Issue",-H46,0))</f>
        <v/>
      </c>
      <c r="O46" s="3">
        <f>IF(A46="","",IF(COUNTIF($A$2:$A$201,A46)&gt;1,"DUPLICATE ID",IF(OR(B46="",C46="",E46="",G46="",H46&lt;=0,L46="",K46=""),"CHECK REQUIRED",IF(AND(G46="Transfer",OR(I46="",J46="",I46=J46)),"CHECK TRANSFER","OK"))))</f>
        <v/>
      </c>
    </row>
    <row r="47">
      <c r="A47" s="5" t="n"/>
      <c r="B47" s="6" t="n"/>
      <c r="C47" s="7" t="n"/>
      <c r="D47" s="8">
        <f>IF(OR(B47="",C47=""),"",B47+C47)</f>
        <v/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3" t="n"/>
      <c r="N47" s="5">
        <f>IF(G47="Receipt",H47,IF(G47="Issue",-H47,0))</f>
        <v/>
      </c>
      <c r="O47" s="3">
        <f>IF(A47="","",IF(COUNTIF($A$2:$A$201,A47)&gt;1,"DUPLICATE ID",IF(OR(B47="",C47="",E47="",G47="",H47&lt;=0,L47="",K47=""),"CHECK REQUIRED",IF(AND(G47="Transfer",OR(I47="",J47="",I47=J47)),"CHECK TRANSFER","OK"))))</f>
        <v/>
      </c>
    </row>
    <row r="48">
      <c r="A48" s="5" t="n"/>
      <c r="B48" s="6" t="n"/>
      <c r="C48" s="7" t="n"/>
      <c r="D48" s="8">
        <f>IF(OR(B48="",C48=""),"",B48+C48)</f>
        <v/>
      </c>
      <c r="E48" s="5" t="n"/>
      <c r="F48" s="5" t="n"/>
      <c r="G48" s="5" t="n"/>
      <c r="H48" s="5" t="n"/>
      <c r="I48" s="5" t="n"/>
      <c r="J48" s="5" t="n"/>
      <c r="K48" s="5" t="n"/>
      <c r="L48" s="5" t="n"/>
      <c r="M48" s="3" t="n"/>
      <c r="N48" s="5">
        <f>IF(G48="Receipt",H48,IF(G48="Issue",-H48,0))</f>
        <v/>
      </c>
      <c r="O48" s="3">
        <f>IF(A48="","",IF(COUNTIF($A$2:$A$201,A48)&gt;1,"DUPLICATE ID",IF(OR(B48="",C48="",E48="",G48="",H48&lt;=0,L48="",K48=""),"CHECK REQUIRED",IF(AND(G48="Transfer",OR(I48="",J48="",I48=J48)),"CHECK TRANSFER","OK"))))</f>
        <v/>
      </c>
    </row>
    <row r="49">
      <c r="A49" s="5" t="n"/>
      <c r="B49" s="6" t="n"/>
      <c r="C49" s="7" t="n"/>
      <c r="D49" s="8">
        <f>IF(OR(B49="",C49=""),"",B49+C49)</f>
        <v/>
      </c>
      <c r="E49" s="5" t="n"/>
      <c r="F49" s="5" t="n"/>
      <c r="G49" s="5" t="n"/>
      <c r="H49" s="5" t="n"/>
      <c r="I49" s="5" t="n"/>
      <c r="J49" s="5" t="n"/>
      <c r="K49" s="5" t="n"/>
      <c r="L49" s="5" t="n"/>
      <c r="M49" s="3" t="n"/>
      <c r="N49" s="5">
        <f>IF(G49="Receipt",H49,IF(G49="Issue",-H49,0))</f>
        <v/>
      </c>
      <c r="O49" s="3">
        <f>IF(A49="","",IF(COUNTIF($A$2:$A$201,A49)&gt;1,"DUPLICATE ID",IF(OR(B49="",C49="",E49="",G49="",H49&lt;=0,L49="",K49=""),"CHECK REQUIRED",IF(AND(G49="Transfer",OR(I49="",J49="",I49=J49)),"CHECK TRANSFER","OK"))))</f>
        <v/>
      </c>
    </row>
    <row r="50">
      <c r="A50" s="5" t="n"/>
      <c r="B50" s="6" t="n"/>
      <c r="C50" s="7" t="n"/>
      <c r="D50" s="8">
        <f>IF(OR(B50="",C50=""),"",B50+C50)</f>
        <v/>
      </c>
      <c r="E50" s="5" t="n"/>
      <c r="F50" s="5" t="n"/>
      <c r="G50" s="5" t="n"/>
      <c r="H50" s="5" t="n"/>
      <c r="I50" s="5" t="n"/>
      <c r="J50" s="5" t="n"/>
      <c r="K50" s="5" t="n"/>
      <c r="L50" s="5" t="n"/>
      <c r="M50" s="3" t="n"/>
      <c r="N50" s="5">
        <f>IF(G50="Receipt",H50,IF(G50="Issue",-H50,0))</f>
        <v/>
      </c>
      <c r="O50" s="3">
        <f>IF(A50="","",IF(COUNTIF($A$2:$A$201,A50)&gt;1,"DUPLICATE ID",IF(OR(B50="",C50="",E50="",G50="",H50&lt;=0,L50="",K50=""),"CHECK REQUIRED",IF(AND(G50="Transfer",OR(I50="",J50="",I50=J50)),"CHECK TRANSFER","OK"))))</f>
        <v/>
      </c>
    </row>
    <row r="51">
      <c r="A51" s="5" t="n"/>
      <c r="B51" s="6" t="n"/>
      <c r="C51" s="7" t="n"/>
      <c r="D51" s="8">
        <f>IF(OR(B51="",C51=""),"",B51+C51)</f>
        <v/>
      </c>
      <c r="E51" s="5" t="n"/>
      <c r="F51" s="5" t="n"/>
      <c r="G51" s="5" t="n"/>
      <c r="H51" s="5" t="n"/>
      <c r="I51" s="5" t="n"/>
      <c r="J51" s="5" t="n"/>
      <c r="K51" s="5" t="n"/>
      <c r="L51" s="5" t="n"/>
      <c r="M51" s="3" t="n"/>
      <c r="N51" s="5">
        <f>IF(G51="Receipt",H51,IF(G51="Issue",-H51,0))</f>
        <v/>
      </c>
      <c r="O51" s="3">
        <f>IF(A51="","",IF(COUNTIF($A$2:$A$201,A51)&gt;1,"DUPLICATE ID",IF(OR(B51="",C51="",E51="",G51="",H51&lt;=0,L51="",K51=""),"CHECK REQUIRED",IF(AND(G51="Transfer",OR(I51="",J51="",I51=J51)),"CHECK TRANSFER","OK"))))</f>
        <v/>
      </c>
    </row>
    <row r="52">
      <c r="A52" s="5" t="n"/>
      <c r="B52" s="6" t="n"/>
      <c r="C52" s="7" t="n"/>
      <c r="D52" s="8">
        <f>IF(OR(B52="",C52=""),"",B52+C52)</f>
        <v/>
      </c>
      <c r="E52" s="5" t="n"/>
      <c r="F52" s="5" t="n"/>
      <c r="G52" s="5" t="n"/>
      <c r="H52" s="5" t="n"/>
      <c r="I52" s="5" t="n"/>
      <c r="J52" s="5" t="n"/>
      <c r="K52" s="5" t="n"/>
      <c r="L52" s="5" t="n"/>
      <c r="M52" s="3" t="n"/>
      <c r="N52" s="5">
        <f>IF(G52="Receipt",H52,IF(G52="Issue",-H52,0))</f>
        <v/>
      </c>
      <c r="O52" s="3">
        <f>IF(A52="","",IF(COUNTIF($A$2:$A$201,A52)&gt;1,"DUPLICATE ID",IF(OR(B52="",C52="",E52="",G52="",H52&lt;=0,L52="",K52=""),"CHECK REQUIRED",IF(AND(G52="Transfer",OR(I52="",J52="",I52=J52)),"CHECK TRANSFER","OK"))))</f>
        <v/>
      </c>
    </row>
    <row r="53">
      <c r="A53" s="5" t="n"/>
      <c r="B53" s="6" t="n"/>
      <c r="C53" s="7" t="n"/>
      <c r="D53" s="8">
        <f>IF(OR(B53="",C53=""),"",B53+C53)</f>
        <v/>
      </c>
      <c r="E53" s="5" t="n"/>
      <c r="F53" s="5" t="n"/>
      <c r="G53" s="5" t="n"/>
      <c r="H53" s="5" t="n"/>
      <c r="I53" s="5" t="n"/>
      <c r="J53" s="5" t="n"/>
      <c r="K53" s="5" t="n"/>
      <c r="L53" s="5" t="n"/>
      <c r="M53" s="3" t="n"/>
      <c r="N53" s="5">
        <f>IF(G53="Receipt",H53,IF(G53="Issue",-H53,0))</f>
        <v/>
      </c>
      <c r="O53" s="3">
        <f>IF(A53="","",IF(COUNTIF($A$2:$A$201,A53)&gt;1,"DUPLICATE ID",IF(OR(B53="",C53="",E53="",G53="",H53&lt;=0,L53="",K53=""),"CHECK REQUIRED",IF(AND(G53="Transfer",OR(I53="",J53="",I53=J53)),"CHECK TRANSFER","OK"))))</f>
        <v/>
      </c>
    </row>
    <row r="54">
      <c r="A54" s="5" t="n"/>
      <c r="B54" s="6" t="n"/>
      <c r="C54" s="7" t="n"/>
      <c r="D54" s="8">
        <f>IF(OR(B54="",C54=""),"",B54+C54)</f>
        <v/>
      </c>
      <c r="E54" s="5" t="n"/>
      <c r="F54" s="5" t="n"/>
      <c r="G54" s="5" t="n"/>
      <c r="H54" s="5" t="n"/>
      <c r="I54" s="5" t="n"/>
      <c r="J54" s="5" t="n"/>
      <c r="K54" s="5" t="n"/>
      <c r="L54" s="5" t="n"/>
      <c r="M54" s="3" t="n"/>
      <c r="N54" s="5">
        <f>IF(G54="Receipt",H54,IF(G54="Issue",-H54,0))</f>
        <v/>
      </c>
      <c r="O54" s="3">
        <f>IF(A54="","",IF(COUNTIF($A$2:$A$201,A54)&gt;1,"DUPLICATE ID",IF(OR(B54="",C54="",E54="",G54="",H54&lt;=0,L54="",K54=""),"CHECK REQUIRED",IF(AND(G54="Transfer",OR(I54="",J54="",I54=J54)),"CHECK TRANSFER","OK"))))</f>
        <v/>
      </c>
    </row>
    <row r="55">
      <c r="A55" s="5" t="n"/>
      <c r="B55" s="6" t="n"/>
      <c r="C55" s="7" t="n"/>
      <c r="D55" s="8">
        <f>IF(OR(B55="",C55=""),"",B55+C55)</f>
        <v/>
      </c>
      <c r="E55" s="5" t="n"/>
      <c r="F55" s="5" t="n"/>
      <c r="G55" s="5" t="n"/>
      <c r="H55" s="5" t="n"/>
      <c r="I55" s="5" t="n"/>
      <c r="J55" s="5" t="n"/>
      <c r="K55" s="5" t="n"/>
      <c r="L55" s="5" t="n"/>
      <c r="M55" s="3" t="n"/>
      <c r="N55" s="5">
        <f>IF(G55="Receipt",H55,IF(G55="Issue",-H55,0))</f>
        <v/>
      </c>
      <c r="O55" s="3">
        <f>IF(A55="","",IF(COUNTIF($A$2:$A$201,A55)&gt;1,"DUPLICATE ID",IF(OR(B55="",C55="",E55="",G55="",H55&lt;=0,L55="",K55=""),"CHECK REQUIRED",IF(AND(G55="Transfer",OR(I55="",J55="",I55=J55)),"CHECK TRANSFER","OK"))))</f>
        <v/>
      </c>
    </row>
    <row r="56">
      <c r="A56" s="5" t="n"/>
      <c r="B56" s="6" t="n"/>
      <c r="C56" s="7" t="n"/>
      <c r="D56" s="8">
        <f>IF(OR(B56="",C56=""),"",B56+C56)</f>
        <v/>
      </c>
      <c r="E56" s="5" t="n"/>
      <c r="F56" s="5" t="n"/>
      <c r="G56" s="5" t="n"/>
      <c r="H56" s="5" t="n"/>
      <c r="I56" s="5" t="n"/>
      <c r="J56" s="5" t="n"/>
      <c r="K56" s="5" t="n"/>
      <c r="L56" s="5" t="n"/>
      <c r="M56" s="3" t="n"/>
      <c r="N56" s="5">
        <f>IF(G56="Receipt",H56,IF(G56="Issue",-H56,0))</f>
        <v/>
      </c>
      <c r="O56" s="3">
        <f>IF(A56="","",IF(COUNTIF($A$2:$A$201,A56)&gt;1,"DUPLICATE ID",IF(OR(B56="",C56="",E56="",G56="",H56&lt;=0,L56="",K56=""),"CHECK REQUIRED",IF(AND(G56="Transfer",OR(I56="",J56="",I56=J56)),"CHECK TRANSFER","OK"))))</f>
        <v/>
      </c>
    </row>
    <row r="57">
      <c r="A57" s="5" t="n"/>
      <c r="B57" s="6" t="n"/>
      <c r="C57" s="7" t="n"/>
      <c r="D57" s="8">
        <f>IF(OR(B57="",C57=""),"",B57+C57)</f>
        <v/>
      </c>
      <c r="E57" s="5" t="n"/>
      <c r="F57" s="5" t="n"/>
      <c r="G57" s="5" t="n"/>
      <c r="H57" s="5" t="n"/>
      <c r="I57" s="5" t="n"/>
      <c r="J57" s="5" t="n"/>
      <c r="K57" s="5" t="n"/>
      <c r="L57" s="5" t="n"/>
      <c r="M57" s="3" t="n"/>
      <c r="N57" s="5">
        <f>IF(G57="Receipt",H57,IF(G57="Issue",-H57,0))</f>
        <v/>
      </c>
      <c r="O57" s="3">
        <f>IF(A57="","",IF(COUNTIF($A$2:$A$201,A57)&gt;1,"DUPLICATE ID",IF(OR(B57="",C57="",E57="",G57="",H57&lt;=0,L57="",K57=""),"CHECK REQUIRED",IF(AND(G57="Transfer",OR(I57="",J57="",I57=J57)),"CHECK TRANSFER","OK"))))</f>
        <v/>
      </c>
    </row>
    <row r="58">
      <c r="A58" s="5" t="n"/>
      <c r="B58" s="6" t="n"/>
      <c r="C58" s="7" t="n"/>
      <c r="D58" s="8">
        <f>IF(OR(B58="",C58=""),"",B58+C58)</f>
        <v/>
      </c>
      <c r="E58" s="5" t="n"/>
      <c r="F58" s="5" t="n"/>
      <c r="G58" s="5" t="n"/>
      <c r="H58" s="5" t="n"/>
      <c r="I58" s="5" t="n"/>
      <c r="J58" s="5" t="n"/>
      <c r="K58" s="5" t="n"/>
      <c r="L58" s="5" t="n"/>
      <c r="M58" s="3" t="n"/>
      <c r="N58" s="5">
        <f>IF(G58="Receipt",H58,IF(G58="Issue",-H58,0))</f>
        <v/>
      </c>
      <c r="O58" s="3">
        <f>IF(A58="","",IF(COUNTIF($A$2:$A$201,A58)&gt;1,"DUPLICATE ID",IF(OR(B58="",C58="",E58="",G58="",H58&lt;=0,L58="",K58=""),"CHECK REQUIRED",IF(AND(G58="Transfer",OR(I58="",J58="",I58=J58)),"CHECK TRANSFER","OK"))))</f>
        <v/>
      </c>
    </row>
    <row r="59">
      <c r="A59" s="5" t="n"/>
      <c r="B59" s="6" t="n"/>
      <c r="C59" s="7" t="n"/>
      <c r="D59" s="8">
        <f>IF(OR(B59="",C59=""),"",B59+C59)</f>
        <v/>
      </c>
      <c r="E59" s="5" t="n"/>
      <c r="F59" s="5" t="n"/>
      <c r="G59" s="5" t="n"/>
      <c r="H59" s="5" t="n"/>
      <c r="I59" s="5" t="n"/>
      <c r="J59" s="5" t="n"/>
      <c r="K59" s="5" t="n"/>
      <c r="L59" s="5" t="n"/>
      <c r="M59" s="3" t="n"/>
      <c r="N59" s="5">
        <f>IF(G59="Receipt",H59,IF(G59="Issue",-H59,0))</f>
        <v/>
      </c>
      <c r="O59" s="3">
        <f>IF(A59="","",IF(COUNTIF($A$2:$A$201,A59)&gt;1,"DUPLICATE ID",IF(OR(B59="",C59="",E59="",G59="",H59&lt;=0,L59="",K59=""),"CHECK REQUIRED",IF(AND(G59="Transfer",OR(I59="",J59="",I59=J59)),"CHECK TRANSFER","OK"))))</f>
        <v/>
      </c>
    </row>
    <row r="60">
      <c r="A60" s="5" t="n"/>
      <c r="B60" s="6" t="n"/>
      <c r="C60" s="7" t="n"/>
      <c r="D60" s="8">
        <f>IF(OR(B60="",C60=""),"",B60+C60)</f>
        <v/>
      </c>
      <c r="E60" s="5" t="n"/>
      <c r="F60" s="5" t="n"/>
      <c r="G60" s="5" t="n"/>
      <c r="H60" s="5" t="n"/>
      <c r="I60" s="5" t="n"/>
      <c r="J60" s="5" t="n"/>
      <c r="K60" s="5" t="n"/>
      <c r="L60" s="5" t="n"/>
      <c r="M60" s="3" t="n"/>
      <c r="N60" s="5">
        <f>IF(G60="Receipt",H60,IF(G60="Issue",-H60,0))</f>
        <v/>
      </c>
      <c r="O60" s="3">
        <f>IF(A60="","",IF(COUNTIF($A$2:$A$201,A60)&gt;1,"DUPLICATE ID",IF(OR(B60="",C60="",E60="",G60="",H60&lt;=0,L60="",K60=""),"CHECK REQUIRED",IF(AND(G60="Transfer",OR(I60="",J60="",I60=J60)),"CHECK TRANSFER","OK"))))</f>
        <v/>
      </c>
    </row>
    <row r="61">
      <c r="A61" s="5" t="n"/>
      <c r="B61" s="6" t="n"/>
      <c r="C61" s="7" t="n"/>
      <c r="D61" s="8">
        <f>IF(OR(B61="",C61=""),"",B61+C61)</f>
        <v/>
      </c>
      <c r="E61" s="5" t="n"/>
      <c r="F61" s="5" t="n"/>
      <c r="G61" s="5" t="n"/>
      <c r="H61" s="5" t="n"/>
      <c r="I61" s="5" t="n"/>
      <c r="J61" s="5" t="n"/>
      <c r="K61" s="5" t="n"/>
      <c r="L61" s="5" t="n"/>
      <c r="M61" s="3" t="n"/>
      <c r="N61" s="5">
        <f>IF(G61="Receipt",H61,IF(G61="Issue",-H61,0))</f>
        <v/>
      </c>
      <c r="O61" s="3">
        <f>IF(A61="","",IF(COUNTIF($A$2:$A$201,A61)&gt;1,"DUPLICATE ID",IF(OR(B61="",C61="",E61="",G61="",H61&lt;=0,L61="",K61=""),"CHECK REQUIRED",IF(AND(G61="Transfer",OR(I61="",J61="",I61=J61)),"CHECK TRANSFER","OK"))))</f>
        <v/>
      </c>
    </row>
    <row r="62">
      <c r="A62" s="5" t="n"/>
      <c r="B62" s="6" t="n"/>
      <c r="C62" s="7" t="n"/>
      <c r="D62" s="8">
        <f>IF(OR(B62="",C62=""),"",B62+C62)</f>
        <v/>
      </c>
      <c r="E62" s="5" t="n"/>
      <c r="F62" s="5" t="n"/>
      <c r="G62" s="5" t="n"/>
      <c r="H62" s="5" t="n"/>
      <c r="I62" s="5" t="n"/>
      <c r="J62" s="5" t="n"/>
      <c r="K62" s="5" t="n"/>
      <c r="L62" s="5" t="n"/>
      <c r="M62" s="3" t="n"/>
      <c r="N62" s="5">
        <f>IF(G62="Receipt",H62,IF(G62="Issue",-H62,0))</f>
        <v/>
      </c>
      <c r="O62" s="3">
        <f>IF(A62="","",IF(COUNTIF($A$2:$A$201,A62)&gt;1,"DUPLICATE ID",IF(OR(B62="",C62="",E62="",G62="",H62&lt;=0,L62="",K62=""),"CHECK REQUIRED",IF(AND(G62="Transfer",OR(I62="",J62="",I62=J62)),"CHECK TRANSFER","OK"))))</f>
        <v/>
      </c>
    </row>
    <row r="63">
      <c r="A63" s="5" t="n"/>
      <c r="B63" s="6" t="n"/>
      <c r="C63" s="7" t="n"/>
      <c r="D63" s="8">
        <f>IF(OR(B63="",C63=""),"",B63+C63)</f>
        <v/>
      </c>
      <c r="E63" s="5" t="n"/>
      <c r="F63" s="5" t="n"/>
      <c r="G63" s="5" t="n"/>
      <c r="H63" s="5" t="n"/>
      <c r="I63" s="5" t="n"/>
      <c r="J63" s="5" t="n"/>
      <c r="K63" s="5" t="n"/>
      <c r="L63" s="5" t="n"/>
      <c r="M63" s="3" t="n"/>
      <c r="N63" s="5">
        <f>IF(G63="Receipt",H63,IF(G63="Issue",-H63,0))</f>
        <v/>
      </c>
      <c r="O63" s="3">
        <f>IF(A63="","",IF(COUNTIF($A$2:$A$201,A63)&gt;1,"DUPLICATE ID",IF(OR(B63="",C63="",E63="",G63="",H63&lt;=0,L63="",K63=""),"CHECK REQUIRED",IF(AND(G63="Transfer",OR(I63="",J63="",I63=J63)),"CHECK TRANSFER","OK"))))</f>
        <v/>
      </c>
    </row>
    <row r="64">
      <c r="A64" s="5" t="n"/>
      <c r="B64" s="6" t="n"/>
      <c r="C64" s="7" t="n"/>
      <c r="D64" s="8">
        <f>IF(OR(B64="",C64=""),"",B64+C64)</f>
        <v/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3" t="n"/>
      <c r="N64" s="5">
        <f>IF(G64="Receipt",H64,IF(G64="Issue",-H64,0))</f>
        <v/>
      </c>
      <c r="O64" s="3">
        <f>IF(A64="","",IF(COUNTIF($A$2:$A$201,A64)&gt;1,"DUPLICATE ID",IF(OR(B64="",C64="",E64="",G64="",H64&lt;=0,L64="",K64=""),"CHECK REQUIRED",IF(AND(G64="Transfer",OR(I64="",J64="",I64=J64)),"CHECK TRANSFER","OK"))))</f>
        <v/>
      </c>
    </row>
    <row r="65">
      <c r="A65" s="5" t="n"/>
      <c r="B65" s="6" t="n"/>
      <c r="C65" s="7" t="n"/>
      <c r="D65" s="8">
        <f>IF(OR(B65="",C65=""),"",B65+C65)</f>
        <v/>
      </c>
      <c r="E65" s="5" t="n"/>
      <c r="F65" s="5" t="n"/>
      <c r="G65" s="5" t="n"/>
      <c r="H65" s="5" t="n"/>
      <c r="I65" s="5" t="n"/>
      <c r="J65" s="5" t="n"/>
      <c r="K65" s="5" t="n"/>
      <c r="L65" s="5" t="n"/>
      <c r="M65" s="3" t="n"/>
      <c r="N65" s="5">
        <f>IF(G65="Receipt",H65,IF(G65="Issue",-H65,0))</f>
        <v/>
      </c>
      <c r="O65" s="3">
        <f>IF(A65="","",IF(COUNTIF($A$2:$A$201,A65)&gt;1,"DUPLICATE ID",IF(OR(B65="",C65="",E65="",G65="",H65&lt;=0,L65="",K65=""),"CHECK REQUIRED",IF(AND(G65="Transfer",OR(I65="",J65="",I65=J65)),"CHECK TRANSFER","OK"))))</f>
        <v/>
      </c>
    </row>
    <row r="66">
      <c r="A66" s="5" t="n"/>
      <c r="B66" s="6" t="n"/>
      <c r="C66" s="7" t="n"/>
      <c r="D66" s="8">
        <f>IF(OR(B66="",C66=""),"",B66+C66)</f>
        <v/>
      </c>
      <c r="E66" s="5" t="n"/>
      <c r="F66" s="5" t="n"/>
      <c r="G66" s="5" t="n"/>
      <c r="H66" s="5" t="n"/>
      <c r="I66" s="5" t="n"/>
      <c r="J66" s="5" t="n"/>
      <c r="K66" s="5" t="n"/>
      <c r="L66" s="5" t="n"/>
      <c r="M66" s="3" t="n"/>
      <c r="N66" s="5">
        <f>IF(G66="Receipt",H66,IF(G66="Issue",-H66,0))</f>
        <v/>
      </c>
      <c r="O66" s="3">
        <f>IF(A66="","",IF(COUNTIF($A$2:$A$201,A66)&gt;1,"DUPLICATE ID",IF(OR(B66="",C66="",E66="",G66="",H66&lt;=0,L66="",K66=""),"CHECK REQUIRED",IF(AND(G66="Transfer",OR(I66="",J66="",I66=J66)),"CHECK TRANSFER","OK"))))</f>
        <v/>
      </c>
    </row>
    <row r="67">
      <c r="A67" s="5" t="n"/>
      <c r="B67" s="6" t="n"/>
      <c r="C67" s="7" t="n"/>
      <c r="D67" s="8">
        <f>IF(OR(B67="",C67=""),"",B67+C67)</f>
        <v/>
      </c>
      <c r="E67" s="5" t="n"/>
      <c r="F67" s="5" t="n"/>
      <c r="G67" s="5" t="n"/>
      <c r="H67" s="5" t="n"/>
      <c r="I67" s="5" t="n"/>
      <c r="J67" s="5" t="n"/>
      <c r="K67" s="5" t="n"/>
      <c r="L67" s="5" t="n"/>
      <c r="M67" s="3" t="n"/>
      <c r="N67" s="5">
        <f>IF(G67="Receipt",H67,IF(G67="Issue",-H67,0))</f>
        <v/>
      </c>
      <c r="O67" s="3">
        <f>IF(A67="","",IF(COUNTIF($A$2:$A$201,A67)&gt;1,"DUPLICATE ID",IF(OR(B67="",C67="",E67="",G67="",H67&lt;=0,L67="",K67=""),"CHECK REQUIRED",IF(AND(G67="Transfer",OR(I67="",J67="",I67=J67)),"CHECK TRANSFER","OK"))))</f>
        <v/>
      </c>
    </row>
    <row r="68">
      <c r="A68" s="5" t="n"/>
      <c r="B68" s="6" t="n"/>
      <c r="C68" s="7" t="n"/>
      <c r="D68" s="8">
        <f>IF(OR(B68="",C68=""),"",B68+C68)</f>
        <v/>
      </c>
      <c r="E68" s="5" t="n"/>
      <c r="F68" s="5" t="n"/>
      <c r="G68" s="5" t="n"/>
      <c r="H68" s="5" t="n"/>
      <c r="I68" s="5" t="n"/>
      <c r="J68" s="5" t="n"/>
      <c r="K68" s="5" t="n"/>
      <c r="L68" s="5" t="n"/>
      <c r="M68" s="3" t="n"/>
      <c r="N68" s="5">
        <f>IF(G68="Receipt",H68,IF(G68="Issue",-H68,0))</f>
        <v/>
      </c>
      <c r="O68" s="3">
        <f>IF(A68="","",IF(COUNTIF($A$2:$A$201,A68)&gt;1,"DUPLICATE ID",IF(OR(B68="",C68="",E68="",G68="",H68&lt;=0,L68="",K68=""),"CHECK REQUIRED",IF(AND(G68="Transfer",OR(I68="",J68="",I68=J68)),"CHECK TRANSFER","OK"))))</f>
        <v/>
      </c>
    </row>
    <row r="69">
      <c r="A69" s="5" t="n"/>
      <c r="B69" s="6" t="n"/>
      <c r="C69" s="7" t="n"/>
      <c r="D69" s="8">
        <f>IF(OR(B69="",C69=""),"",B69+C69)</f>
        <v/>
      </c>
      <c r="E69" s="5" t="n"/>
      <c r="F69" s="5" t="n"/>
      <c r="G69" s="5" t="n"/>
      <c r="H69" s="5" t="n"/>
      <c r="I69" s="5" t="n"/>
      <c r="J69" s="5" t="n"/>
      <c r="K69" s="5" t="n"/>
      <c r="L69" s="5" t="n"/>
      <c r="M69" s="3" t="n"/>
      <c r="N69" s="5">
        <f>IF(G69="Receipt",H69,IF(G69="Issue",-H69,0))</f>
        <v/>
      </c>
      <c r="O69" s="3">
        <f>IF(A69="","",IF(COUNTIF($A$2:$A$201,A69)&gt;1,"DUPLICATE ID",IF(OR(B69="",C69="",E69="",G69="",H69&lt;=0,L69="",K69=""),"CHECK REQUIRED",IF(AND(G69="Transfer",OR(I69="",J69="",I69=J69)),"CHECK TRANSFER","OK"))))</f>
        <v/>
      </c>
    </row>
    <row r="70">
      <c r="A70" s="5" t="n"/>
      <c r="B70" s="6" t="n"/>
      <c r="C70" s="7" t="n"/>
      <c r="D70" s="8">
        <f>IF(OR(B70="",C70=""),"",B70+C70)</f>
        <v/>
      </c>
      <c r="E70" s="5" t="n"/>
      <c r="F70" s="5" t="n"/>
      <c r="G70" s="5" t="n"/>
      <c r="H70" s="5" t="n"/>
      <c r="I70" s="5" t="n"/>
      <c r="J70" s="5" t="n"/>
      <c r="K70" s="5" t="n"/>
      <c r="L70" s="5" t="n"/>
      <c r="M70" s="3" t="n"/>
      <c r="N70" s="5">
        <f>IF(G70="Receipt",H70,IF(G70="Issue",-H70,0))</f>
        <v/>
      </c>
      <c r="O70" s="3">
        <f>IF(A70="","",IF(COUNTIF($A$2:$A$201,A70)&gt;1,"DUPLICATE ID",IF(OR(B70="",C70="",E70="",G70="",H70&lt;=0,L70="",K70=""),"CHECK REQUIRED",IF(AND(G70="Transfer",OR(I70="",J70="",I70=J70)),"CHECK TRANSFER","OK"))))</f>
        <v/>
      </c>
    </row>
    <row r="71">
      <c r="A71" s="5" t="n"/>
      <c r="B71" s="6" t="n"/>
      <c r="C71" s="7" t="n"/>
      <c r="D71" s="8">
        <f>IF(OR(B71="",C71=""),"",B71+C71)</f>
        <v/>
      </c>
      <c r="E71" s="5" t="n"/>
      <c r="F71" s="5" t="n"/>
      <c r="G71" s="5" t="n"/>
      <c r="H71" s="5" t="n"/>
      <c r="I71" s="5" t="n"/>
      <c r="J71" s="5" t="n"/>
      <c r="K71" s="5" t="n"/>
      <c r="L71" s="5" t="n"/>
      <c r="M71" s="3" t="n"/>
      <c r="N71" s="5">
        <f>IF(G71="Receipt",H71,IF(G71="Issue",-H71,0))</f>
        <v/>
      </c>
      <c r="O71" s="3">
        <f>IF(A71="","",IF(COUNTIF($A$2:$A$201,A71)&gt;1,"DUPLICATE ID",IF(OR(B71="",C71="",E71="",G71="",H71&lt;=0,L71="",K71=""),"CHECK REQUIRED",IF(AND(G71="Transfer",OR(I71="",J71="",I71=J71)),"CHECK TRANSFER","OK"))))</f>
        <v/>
      </c>
    </row>
    <row r="72">
      <c r="A72" s="5" t="n"/>
      <c r="B72" s="6" t="n"/>
      <c r="C72" s="7" t="n"/>
      <c r="D72" s="8">
        <f>IF(OR(B72="",C72=""),"",B72+C72)</f>
        <v/>
      </c>
      <c r="E72" s="5" t="n"/>
      <c r="F72" s="5" t="n"/>
      <c r="G72" s="5" t="n"/>
      <c r="H72" s="5" t="n"/>
      <c r="I72" s="5" t="n"/>
      <c r="J72" s="5" t="n"/>
      <c r="K72" s="5" t="n"/>
      <c r="L72" s="5" t="n"/>
      <c r="M72" s="3" t="n"/>
      <c r="N72" s="5">
        <f>IF(G72="Receipt",H72,IF(G72="Issue",-H72,0))</f>
        <v/>
      </c>
      <c r="O72" s="3">
        <f>IF(A72="","",IF(COUNTIF($A$2:$A$201,A72)&gt;1,"DUPLICATE ID",IF(OR(B72="",C72="",E72="",G72="",H72&lt;=0,L72="",K72=""),"CHECK REQUIRED",IF(AND(G72="Transfer",OR(I72="",J72="",I72=J72)),"CHECK TRANSFER","OK"))))</f>
        <v/>
      </c>
    </row>
    <row r="73">
      <c r="A73" s="5" t="n"/>
      <c r="B73" s="6" t="n"/>
      <c r="C73" s="7" t="n"/>
      <c r="D73" s="8">
        <f>IF(OR(B73="",C73=""),"",B73+C73)</f>
        <v/>
      </c>
      <c r="E73" s="5" t="n"/>
      <c r="F73" s="5" t="n"/>
      <c r="G73" s="5" t="n"/>
      <c r="H73" s="5" t="n"/>
      <c r="I73" s="5" t="n"/>
      <c r="J73" s="5" t="n"/>
      <c r="K73" s="5" t="n"/>
      <c r="L73" s="5" t="n"/>
      <c r="M73" s="3" t="n"/>
      <c r="N73" s="5">
        <f>IF(G73="Receipt",H73,IF(G73="Issue",-H73,0))</f>
        <v/>
      </c>
      <c r="O73" s="3">
        <f>IF(A73="","",IF(COUNTIF($A$2:$A$201,A73)&gt;1,"DUPLICATE ID",IF(OR(B73="",C73="",E73="",G73="",H73&lt;=0,L73="",K73=""),"CHECK REQUIRED",IF(AND(G73="Transfer",OR(I73="",J73="",I73=J73)),"CHECK TRANSFER","OK"))))</f>
        <v/>
      </c>
    </row>
    <row r="74">
      <c r="A74" s="5" t="n"/>
      <c r="B74" s="6" t="n"/>
      <c r="C74" s="7" t="n"/>
      <c r="D74" s="8">
        <f>IF(OR(B74="",C74=""),"",B74+C74)</f>
        <v/>
      </c>
      <c r="E74" s="5" t="n"/>
      <c r="F74" s="5" t="n"/>
      <c r="G74" s="5" t="n"/>
      <c r="H74" s="5" t="n"/>
      <c r="I74" s="5" t="n"/>
      <c r="J74" s="5" t="n"/>
      <c r="K74" s="5" t="n"/>
      <c r="L74" s="5" t="n"/>
      <c r="M74" s="3" t="n"/>
      <c r="N74" s="5">
        <f>IF(G74="Receipt",H74,IF(G74="Issue",-H74,0))</f>
        <v/>
      </c>
      <c r="O74" s="3">
        <f>IF(A74="","",IF(COUNTIF($A$2:$A$201,A74)&gt;1,"DUPLICATE ID",IF(OR(B74="",C74="",E74="",G74="",H74&lt;=0,L74="",K74=""),"CHECK REQUIRED",IF(AND(G74="Transfer",OR(I74="",J74="",I74=J74)),"CHECK TRANSFER","OK"))))</f>
        <v/>
      </c>
    </row>
    <row r="75">
      <c r="A75" s="5" t="n"/>
      <c r="B75" s="6" t="n"/>
      <c r="C75" s="7" t="n"/>
      <c r="D75" s="8">
        <f>IF(OR(B75="",C75=""),"",B75+C75)</f>
        <v/>
      </c>
      <c r="E75" s="5" t="n"/>
      <c r="F75" s="5" t="n"/>
      <c r="G75" s="5" t="n"/>
      <c r="H75" s="5" t="n"/>
      <c r="I75" s="5" t="n"/>
      <c r="J75" s="5" t="n"/>
      <c r="K75" s="5" t="n"/>
      <c r="L75" s="5" t="n"/>
      <c r="M75" s="3" t="n"/>
      <c r="N75" s="5">
        <f>IF(G75="Receipt",H75,IF(G75="Issue",-H75,0))</f>
        <v/>
      </c>
      <c r="O75" s="3">
        <f>IF(A75="","",IF(COUNTIF($A$2:$A$201,A75)&gt;1,"DUPLICATE ID",IF(OR(B75="",C75="",E75="",G75="",H75&lt;=0,L75="",K75=""),"CHECK REQUIRED",IF(AND(G75="Transfer",OR(I75="",J75="",I75=J75)),"CHECK TRANSFER","OK"))))</f>
        <v/>
      </c>
    </row>
    <row r="76">
      <c r="A76" s="5" t="n"/>
      <c r="B76" s="6" t="n"/>
      <c r="C76" s="7" t="n"/>
      <c r="D76" s="8">
        <f>IF(OR(B76="",C76=""),"",B76+C76)</f>
        <v/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3" t="n"/>
      <c r="N76" s="5">
        <f>IF(G76="Receipt",H76,IF(G76="Issue",-H76,0))</f>
        <v/>
      </c>
      <c r="O76" s="3">
        <f>IF(A76="","",IF(COUNTIF($A$2:$A$201,A76)&gt;1,"DUPLICATE ID",IF(OR(B76="",C76="",E76="",G76="",H76&lt;=0,L76="",K76=""),"CHECK REQUIRED",IF(AND(G76="Transfer",OR(I76="",J76="",I76=J76)),"CHECK TRANSFER","OK"))))</f>
        <v/>
      </c>
    </row>
    <row r="77">
      <c r="A77" s="5" t="n"/>
      <c r="B77" s="6" t="n"/>
      <c r="C77" s="7" t="n"/>
      <c r="D77" s="8">
        <f>IF(OR(B77="",C77=""),"",B77+C77)</f>
        <v/>
      </c>
      <c r="E77" s="5" t="n"/>
      <c r="F77" s="5" t="n"/>
      <c r="G77" s="5" t="n"/>
      <c r="H77" s="5" t="n"/>
      <c r="I77" s="5" t="n"/>
      <c r="J77" s="5" t="n"/>
      <c r="K77" s="5" t="n"/>
      <c r="L77" s="5" t="n"/>
      <c r="M77" s="3" t="n"/>
      <c r="N77" s="5">
        <f>IF(G77="Receipt",H77,IF(G77="Issue",-H77,0))</f>
        <v/>
      </c>
      <c r="O77" s="3">
        <f>IF(A77="","",IF(COUNTIF($A$2:$A$201,A77)&gt;1,"DUPLICATE ID",IF(OR(B77="",C77="",E77="",G77="",H77&lt;=0,L77="",K77=""),"CHECK REQUIRED",IF(AND(G77="Transfer",OR(I77="",J77="",I77=J77)),"CHECK TRANSFER","OK"))))</f>
        <v/>
      </c>
    </row>
    <row r="78">
      <c r="A78" s="5" t="n"/>
      <c r="B78" s="6" t="n"/>
      <c r="C78" s="7" t="n"/>
      <c r="D78" s="8">
        <f>IF(OR(B78="",C78=""),"",B78+C78)</f>
        <v/>
      </c>
      <c r="E78" s="5" t="n"/>
      <c r="F78" s="5" t="n"/>
      <c r="G78" s="5" t="n"/>
      <c r="H78" s="5" t="n"/>
      <c r="I78" s="5" t="n"/>
      <c r="J78" s="5" t="n"/>
      <c r="K78" s="5" t="n"/>
      <c r="L78" s="5" t="n"/>
      <c r="M78" s="3" t="n"/>
      <c r="N78" s="5">
        <f>IF(G78="Receipt",H78,IF(G78="Issue",-H78,0))</f>
        <v/>
      </c>
      <c r="O78" s="3">
        <f>IF(A78="","",IF(COUNTIF($A$2:$A$201,A78)&gt;1,"DUPLICATE ID",IF(OR(B78="",C78="",E78="",G78="",H78&lt;=0,L78="",K78=""),"CHECK REQUIRED",IF(AND(G78="Transfer",OR(I78="",J78="",I78=J78)),"CHECK TRANSFER","OK"))))</f>
        <v/>
      </c>
    </row>
    <row r="79">
      <c r="A79" s="5" t="n"/>
      <c r="B79" s="6" t="n"/>
      <c r="C79" s="7" t="n"/>
      <c r="D79" s="8">
        <f>IF(OR(B79="",C79=""),"",B79+C79)</f>
        <v/>
      </c>
      <c r="E79" s="5" t="n"/>
      <c r="F79" s="5" t="n"/>
      <c r="G79" s="5" t="n"/>
      <c r="H79" s="5" t="n"/>
      <c r="I79" s="5" t="n"/>
      <c r="J79" s="5" t="n"/>
      <c r="K79" s="5" t="n"/>
      <c r="L79" s="5" t="n"/>
      <c r="M79" s="3" t="n"/>
      <c r="N79" s="5">
        <f>IF(G79="Receipt",H79,IF(G79="Issue",-H79,0))</f>
        <v/>
      </c>
      <c r="O79" s="3">
        <f>IF(A79="","",IF(COUNTIF($A$2:$A$201,A79)&gt;1,"DUPLICATE ID",IF(OR(B79="",C79="",E79="",G79="",H79&lt;=0,L79="",K79=""),"CHECK REQUIRED",IF(AND(G79="Transfer",OR(I79="",J79="",I79=J79)),"CHECK TRANSFER","OK"))))</f>
        <v/>
      </c>
    </row>
    <row r="80">
      <c r="A80" s="5" t="n"/>
      <c r="B80" s="6" t="n"/>
      <c r="C80" s="7" t="n"/>
      <c r="D80" s="8">
        <f>IF(OR(B80="",C80=""),"",B80+C80)</f>
        <v/>
      </c>
      <c r="E80" s="5" t="n"/>
      <c r="F80" s="5" t="n"/>
      <c r="G80" s="5" t="n"/>
      <c r="H80" s="5" t="n"/>
      <c r="I80" s="5" t="n"/>
      <c r="J80" s="5" t="n"/>
      <c r="K80" s="5" t="n"/>
      <c r="L80" s="5" t="n"/>
      <c r="M80" s="3" t="n"/>
      <c r="N80" s="5">
        <f>IF(G80="Receipt",H80,IF(G80="Issue",-H80,0))</f>
        <v/>
      </c>
      <c r="O80" s="3">
        <f>IF(A80="","",IF(COUNTIF($A$2:$A$201,A80)&gt;1,"DUPLICATE ID",IF(OR(B80="",C80="",E80="",G80="",H80&lt;=0,L80="",K80=""),"CHECK REQUIRED",IF(AND(G80="Transfer",OR(I80="",J80="",I80=J80)),"CHECK TRANSFER","OK"))))</f>
        <v/>
      </c>
    </row>
    <row r="81">
      <c r="A81" s="5" t="n"/>
      <c r="B81" s="6" t="n"/>
      <c r="C81" s="7" t="n"/>
      <c r="D81" s="8">
        <f>IF(OR(B81="",C81=""),"",B81+C81)</f>
        <v/>
      </c>
      <c r="E81" s="5" t="n"/>
      <c r="F81" s="5" t="n"/>
      <c r="G81" s="5" t="n"/>
      <c r="H81" s="5" t="n"/>
      <c r="I81" s="5" t="n"/>
      <c r="J81" s="5" t="n"/>
      <c r="K81" s="5" t="n"/>
      <c r="L81" s="5" t="n"/>
      <c r="M81" s="3" t="n"/>
      <c r="N81" s="5">
        <f>IF(G81="Receipt",H81,IF(G81="Issue",-H81,0))</f>
        <v/>
      </c>
      <c r="O81" s="3">
        <f>IF(A81="","",IF(COUNTIF($A$2:$A$201,A81)&gt;1,"DUPLICATE ID",IF(OR(B81="",C81="",E81="",G81="",H81&lt;=0,L81="",K81=""),"CHECK REQUIRED",IF(AND(G81="Transfer",OR(I81="",J81="",I81=J81)),"CHECK TRANSFER","OK"))))</f>
        <v/>
      </c>
    </row>
    <row r="82">
      <c r="A82" s="5" t="n"/>
      <c r="B82" s="6" t="n"/>
      <c r="C82" s="7" t="n"/>
      <c r="D82" s="8">
        <f>IF(OR(B82="",C82=""),"",B82+C82)</f>
        <v/>
      </c>
      <c r="E82" s="5" t="n"/>
      <c r="F82" s="5" t="n"/>
      <c r="G82" s="5" t="n"/>
      <c r="H82" s="5" t="n"/>
      <c r="I82" s="5" t="n"/>
      <c r="J82" s="5" t="n"/>
      <c r="K82" s="5" t="n"/>
      <c r="L82" s="5" t="n"/>
      <c r="M82" s="3" t="n"/>
      <c r="N82" s="5">
        <f>IF(G82="Receipt",H82,IF(G82="Issue",-H82,0))</f>
        <v/>
      </c>
      <c r="O82" s="3">
        <f>IF(A82="","",IF(COUNTIF($A$2:$A$201,A82)&gt;1,"DUPLICATE ID",IF(OR(B82="",C82="",E82="",G82="",H82&lt;=0,L82="",K82=""),"CHECK REQUIRED",IF(AND(G82="Transfer",OR(I82="",J82="",I82=J82)),"CHECK TRANSFER","OK"))))</f>
        <v/>
      </c>
    </row>
    <row r="83">
      <c r="A83" s="5" t="n"/>
      <c r="B83" s="6" t="n"/>
      <c r="C83" s="7" t="n"/>
      <c r="D83" s="8">
        <f>IF(OR(B83="",C83=""),"",B83+C83)</f>
        <v/>
      </c>
      <c r="E83" s="5" t="n"/>
      <c r="F83" s="5" t="n"/>
      <c r="G83" s="5" t="n"/>
      <c r="H83" s="5" t="n"/>
      <c r="I83" s="5" t="n"/>
      <c r="J83" s="5" t="n"/>
      <c r="K83" s="5" t="n"/>
      <c r="L83" s="5" t="n"/>
      <c r="M83" s="3" t="n"/>
      <c r="N83" s="5">
        <f>IF(G83="Receipt",H83,IF(G83="Issue",-H83,0))</f>
        <v/>
      </c>
      <c r="O83" s="3">
        <f>IF(A83="","",IF(COUNTIF($A$2:$A$201,A83)&gt;1,"DUPLICATE ID",IF(OR(B83="",C83="",E83="",G83="",H83&lt;=0,L83="",K83=""),"CHECK REQUIRED",IF(AND(G83="Transfer",OR(I83="",J83="",I83=J83)),"CHECK TRANSFER","OK"))))</f>
        <v/>
      </c>
    </row>
    <row r="84">
      <c r="A84" s="5" t="n"/>
      <c r="B84" s="6" t="n"/>
      <c r="C84" s="7" t="n"/>
      <c r="D84" s="8">
        <f>IF(OR(B84="",C84=""),"",B84+C84)</f>
        <v/>
      </c>
      <c r="E84" s="5" t="n"/>
      <c r="F84" s="5" t="n"/>
      <c r="G84" s="5" t="n"/>
      <c r="H84" s="5" t="n"/>
      <c r="I84" s="5" t="n"/>
      <c r="J84" s="5" t="n"/>
      <c r="K84" s="5" t="n"/>
      <c r="L84" s="5" t="n"/>
      <c r="M84" s="3" t="n"/>
      <c r="N84" s="5">
        <f>IF(G84="Receipt",H84,IF(G84="Issue",-H84,0))</f>
        <v/>
      </c>
      <c r="O84" s="3">
        <f>IF(A84="","",IF(COUNTIF($A$2:$A$201,A84)&gt;1,"DUPLICATE ID",IF(OR(B84="",C84="",E84="",G84="",H84&lt;=0,L84="",K84=""),"CHECK REQUIRED",IF(AND(G84="Transfer",OR(I84="",J84="",I84=J84)),"CHECK TRANSFER","OK"))))</f>
        <v/>
      </c>
    </row>
    <row r="85">
      <c r="A85" s="5" t="n"/>
      <c r="B85" s="6" t="n"/>
      <c r="C85" s="7" t="n"/>
      <c r="D85" s="8">
        <f>IF(OR(B85="",C85=""),"",B85+C85)</f>
        <v/>
      </c>
      <c r="E85" s="5" t="n"/>
      <c r="F85" s="5" t="n"/>
      <c r="G85" s="5" t="n"/>
      <c r="H85" s="5" t="n"/>
      <c r="I85" s="5" t="n"/>
      <c r="J85" s="5" t="n"/>
      <c r="K85" s="5" t="n"/>
      <c r="L85" s="5" t="n"/>
      <c r="M85" s="3" t="n"/>
      <c r="N85" s="5">
        <f>IF(G85="Receipt",H85,IF(G85="Issue",-H85,0))</f>
        <v/>
      </c>
      <c r="O85" s="3">
        <f>IF(A85="","",IF(COUNTIF($A$2:$A$201,A85)&gt;1,"DUPLICATE ID",IF(OR(B85="",C85="",E85="",G85="",H85&lt;=0,L85="",K85=""),"CHECK REQUIRED",IF(AND(G85="Transfer",OR(I85="",J85="",I85=J85)),"CHECK TRANSFER","OK"))))</f>
        <v/>
      </c>
    </row>
    <row r="86">
      <c r="A86" s="5" t="n"/>
      <c r="B86" s="6" t="n"/>
      <c r="C86" s="7" t="n"/>
      <c r="D86" s="8">
        <f>IF(OR(B86="",C86=""),"",B86+C86)</f>
        <v/>
      </c>
      <c r="E86" s="5" t="n"/>
      <c r="F86" s="5" t="n"/>
      <c r="G86" s="5" t="n"/>
      <c r="H86" s="5" t="n"/>
      <c r="I86" s="5" t="n"/>
      <c r="J86" s="5" t="n"/>
      <c r="K86" s="5" t="n"/>
      <c r="L86" s="5" t="n"/>
      <c r="M86" s="3" t="n"/>
      <c r="N86" s="5">
        <f>IF(G86="Receipt",H86,IF(G86="Issue",-H86,0))</f>
        <v/>
      </c>
      <c r="O86" s="3">
        <f>IF(A86="","",IF(COUNTIF($A$2:$A$201,A86)&gt;1,"DUPLICATE ID",IF(OR(B86="",C86="",E86="",G86="",H86&lt;=0,L86="",K86=""),"CHECK REQUIRED",IF(AND(G86="Transfer",OR(I86="",J86="",I86=J86)),"CHECK TRANSFER","OK"))))</f>
        <v/>
      </c>
    </row>
    <row r="87">
      <c r="A87" s="5" t="n"/>
      <c r="B87" s="6" t="n"/>
      <c r="C87" s="7" t="n"/>
      <c r="D87" s="8">
        <f>IF(OR(B87="",C87=""),"",B87+C87)</f>
        <v/>
      </c>
      <c r="E87" s="5" t="n"/>
      <c r="F87" s="5" t="n"/>
      <c r="G87" s="5" t="n"/>
      <c r="H87" s="5" t="n"/>
      <c r="I87" s="5" t="n"/>
      <c r="J87" s="5" t="n"/>
      <c r="K87" s="5" t="n"/>
      <c r="L87" s="5" t="n"/>
      <c r="M87" s="3" t="n"/>
      <c r="N87" s="5">
        <f>IF(G87="Receipt",H87,IF(G87="Issue",-H87,0))</f>
        <v/>
      </c>
      <c r="O87" s="3">
        <f>IF(A87="","",IF(COUNTIF($A$2:$A$201,A87)&gt;1,"DUPLICATE ID",IF(OR(B87="",C87="",E87="",G87="",H87&lt;=0,L87="",K87=""),"CHECK REQUIRED",IF(AND(G87="Transfer",OR(I87="",J87="",I87=J87)),"CHECK TRANSFER","OK"))))</f>
        <v/>
      </c>
    </row>
    <row r="88">
      <c r="A88" s="5" t="n"/>
      <c r="B88" s="6" t="n"/>
      <c r="C88" s="7" t="n"/>
      <c r="D88" s="8">
        <f>IF(OR(B88="",C88=""),"",B88+C88)</f>
        <v/>
      </c>
      <c r="E88" s="5" t="n"/>
      <c r="F88" s="5" t="n"/>
      <c r="G88" s="5" t="n"/>
      <c r="H88" s="5" t="n"/>
      <c r="I88" s="5" t="n"/>
      <c r="J88" s="5" t="n"/>
      <c r="K88" s="5" t="n"/>
      <c r="L88" s="5" t="n"/>
      <c r="M88" s="3" t="n"/>
      <c r="N88" s="5">
        <f>IF(G88="Receipt",H88,IF(G88="Issue",-H88,0))</f>
        <v/>
      </c>
      <c r="O88" s="3">
        <f>IF(A88="","",IF(COUNTIF($A$2:$A$201,A88)&gt;1,"DUPLICATE ID",IF(OR(B88="",C88="",E88="",G88="",H88&lt;=0,L88="",K88=""),"CHECK REQUIRED",IF(AND(G88="Transfer",OR(I88="",J88="",I88=J88)),"CHECK TRANSFER","OK"))))</f>
        <v/>
      </c>
    </row>
    <row r="89">
      <c r="A89" s="5" t="n"/>
      <c r="B89" s="6" t="n"/>
      <c r="C89" s="7" t="n"/>
      <c r="D89" s="8">
        <f>IF(OR(B89="",C89=""),"",B89+C89)</f>
        <v/>
      </c>
      <c r="E89" s="5" t="n"/>
      <c r="F89" s="5" t="n"/>
      <c r="G89" s="5" t="n"/>
      <c r="H89" s="5" t="n"/>
      <c r="I89" s="5" t="n"/>
      <c r="J89" s="5" t="n"/>
      <c r="K89" s="5" t="n"/>
      <c r="L89" s="5" t="n"/>
      <c r="M89" s="3" t="n"/>
      <c r="N89" s="5">
        <f>IF(G89="Receipt",H89,IF(G89="Issue",-H89,0))</f>
        <v/>
      </c>
      <c r="O89" s="3">
        <f>IF(A89="","",IF(COUNTIF($A$2:$A$201,A89)&gt;1,"DUPLICATE ID",IF(OR(B89="",C89="",E89="",G89="",H89&lt;=0,L89="",K89=""),"CHECK REQUIRED",IF(AND(G89="Transfer",OR(I89="",J89="",I89=J89)),"CHECK TRANSFER","OK"))))</f>
        <v/>
      </c>
    </row>
    <row r="90">
      <c r="A90" s="5" t="n"/>
      <c r="B90" s="6" t="n"/>
      <c r="C90" s="7" t="n"/>
      <c r="D90" s="8">
        <f>IF(OR(B90="",C90=""),"",B90+C90)</f>
        <v/>
      </c>
      <c r="E90" s="5" t="n"/>
      <c r="F90" s="5" t="n"/>
      <c r="G90" s="5" t="n"/>
      <c r="H90" s="5" t="n"/>
      <c r="I90" s="5" t="n"/>
      <c r="J90" s="5" t="n"/>
      <c r="K90" s="5" t="n"/>
      <c r="L90" s="5" t="n"/>
      <c r="M90" s="3" t="n"/>
      <c r="N90" s="5">
        <f>IF(G90="Receipt",H90,IF(G90="Issue",-H90,0))</f>
        <v/>
      </c>
      <c r="O90" s="3">
        <f>IF(A90="","",IF(COUNTIF($A$2:$A$201,A90)&gt;1,"DUPLICATE ID",IF(OR(B90="",C90="",E90="",G90="",H90&lt;=0,L90="",K90=""),"CHECK REQUIRED",IF(AND(G90="Transfer",OR(I90="",J90="",I90=J90)),"CHECK TRANSFER","OK"))))</f>
        <v/>
      </c>
    </row>
    <row r="91">
      <c r="A91" s="5" t="n"/>
      <c r="B91" s="6" t="n"/>
      <c r="C91" s="7" t="n"/>
      <c r="D91" s="8">
        <f>IF(OR(B91="",C91=""),"",B91+C91)</f>
        <v/>
      </c>
      <c r="E91" s="5" t="n"/>
      <c r="F91" s="5" t="n"/>
      <c r="G91" s="5" t="n"/>
      <c r="H91" s="5" t="n"/>
      <c r="I91" s="5" t="n"/>
      <c r="J91" s="5" t="n"/>
      <c r="K91" s="5" t="n"/>
      <c r="L91" s="5" t="n"/>
      <c r="M91" s="3" t="n"/>
      <c r="N91" s="5">
        <f>IF(G91="Receipt",H91,IF(G91="Issue",-H91,0))</f>
        <v/>
      </c>
      <c r="O91" s="3">
        <f>IF(A91="","",IF(COUNTIF($A$2:$A$201,A91)&gt;1,"DUPLICATE ID",IF(OR(B91="",C91="",E91="",G91="",H91&lt;=0,L91="",K91=""),"CHECK REQUIRED",IF(AND(G91="Transfer",OR(I91="",J91="",I91=J91)),"CHECK TRANSFER","OK"))))</f>
        <v/>
      </c>
    </row>
    <row r="92">
      <c r="A92" s="5" t="n"/>
      <c r="B92" s="6" t="n"/>
      <c r="C92" s="7" t="n"/>
      <c r="D92" s="8">
        <f>IF(OR(B92="",C92=""),"",B92+C92)</f>
        <v/>
      </c>
      <c r="E92" s="5" t="n"/>
      <c r="F92" s="5" t="n"/>
      <c r="G92" s="5" t="n"/>
      <c r="H92" s="5" t="n"/>
      <c r="I92" s="5" t="n"/>
      <c r="J92" s="5" t="n"/>
      <c r="K92" s="5" t="n"/>
      <c r="L92" s="5" t="n"/>
      <c r="M92" s="3" t="n"/>
      <c r="N92" s="5">
        <f>IF(G92="Receipt",H92,IF(G92="Issue",-H92,0))</f>
        <v/>
      </c>
      <c r="O92" s="3">
        <f>IF(A92="","",IF(COUNTIF($A$2:$A$201,A92)&gt;1,"DUPLICATE ID",IF(OR(B92="",C92="",E92="",G92="",H92&lt;=0,L92="",K92=""),"CHECK REQUIRED",IF(AND(G92="Transfer",OR(I92="",J92="",I92=J92)),"CHECK TRANSFER","OK"))))</f>
        <v/>
      </c>
    </row>
    <row r="93">
      <c r="A93" s="5" t="n"/>
      <c r="B93" s="6" t="n"/>
      <c r="C93" s="7" t="n"/>
      <c r="D93" s="8">
        <f>IF(OR(B93="",C93=""),"",B93+C93)</f>
        <v/>
      </c>
      <c r="E93" s="5" t="n"/>
      <c r="F93" s="5" t="n"/>
      <c r="G93" s="5" t="n"/>
      <c r="H93" s="5" t="n"/>
      <c r="I93" s="5" t="n"/>
      <c r="J93" s="5" t="n"/>
      <c r="K93" s="5" t="n"/>
      <c r="L93" s="5" t="n"/>
      <c r="M93" s="3" t="n"/>
      <c r="N93" s="5">
        <f>IF(G93="Receipt",H93,IF(G93="Issue",-H93,0))</f>
        <v/>
      </c>
      <c r="O93" s="3">
        <f>IF(A93="","",IF(COUNTIF($A$2:$A$201,A93)&gt;1,"DUPLICATE ID",IF(OR(B93="",C93="",E93="",G93="",H93&lt;=0,L93="",K93=""),"CHECK REQUIRED",IF(AND(G93="Transfer",OR(I93="",J93="",I93=J93)),"CHECK TRANSFER","OK"))))</f>
        <v/>
      </c>
    </row>
    <row r="94">
      <c r="A94" s="5" t="n"/>
      <c r="B94" s="6" t="n"/>
      <c r="C94" s="7" t="n"/>
      <c r="D94" s="8">
        <f>IF(OR(B94="",C94=""),"",B94+C94)</f>
        <v/>
      </c>
      <c r="E94" s="5" t="n"/>
      <c r="F94" s="5" t="n"/>
      <c r="G94" s="5" t="n"/>
      <c r="H94" s="5" t="n"/>
      <c r="I94" s="5" t="n"/>
      <c r="J94" s="5" t="n"/>
      <c r="K94" s="5" t="n"/>
      <c r="L94" s="5" t="n"/>
      <c r="M94" s="3" t="n"/>
      <c r="N94" s="5">
        <f>IF(G94="Receipt",H94,IF(G94="Issue",-H94,0))</f>
        <v/>
      </c>
      <c r="O94" s="3">
        <f>IF(A94="","",IF(COUNTIF($A$2:$A$201,A94)&gt;1,"DUPLICATE ID",IF(OR(B94="",C94="",E94="",G94="",H94&lt;=0,L94="",K94=""),"CHECK REQUIRED",IF(AND(G94="Transfer",OR(I94="",J94="",I94=J94)),"CHECK TRANSFER","OK"))))</f>
        <v/>
      </c>
    </row>
    <row r="95">
      <c r="A95" s="5" t="n"/>
      <c r="B95" s="6" t="n"/>
      <c r="C95" s="7" t="n"/>
      <c r="D95" s="8">
        <f>IF(OR(B95="",C95=""),"",B95+C95)</f>
        <v/>
      </c>
      <c r="E95" s="5" t="n"/>
      <c r="F95" s="5" t="n"/>
      <c r="G95" s="5" t="n"/>
      <c r="H95" s="5" t="n"/>
      <c r="I95" s="5" t="n"/>
      <c r="J95" s="5" t="n"/>
      <c r="K95" s="5" t="n"/>
      <c r="L95" s="5" t="n"/>
      <c r="M95" s="3" t="n"/>
      <c r="N95" s="5">
        <f>IF(G95="Receipt",H95,IF(G95="Issue",-H95,0))</f>
        <v/>
      </c>
      <c r="O95" s="3">
        <f>IF(A95="","",IF(COUNTIF($A$2:$A$201,A95)&gt;1,"DUPLICATE ID",IF(OR(B95="",C95="",E95="",G95="",H95&lt;=0,L95="",K95=""),"CHECK REQUIRED",IF(AND(G95="Transfer",OR(I95="",J95="",I95=J95)),"CHECK TRANSFER","OK"))))</f>
        <v/>
      </c>
    </row>
    <row r="96">
      <c r="A96" s="5" t="n"/>
      <c r="B96" s="6" t="n"/>
      <c r="C96" s="7" t="n"/>
      <c r="D96" s="8">
        <f>IF(OR(B96="",C96=""),"",B96+C96)</f>
        <v/>
      </c>
      <c r="E96" s="5" t="n"/>
      <c r="F96" s="5" t="n"/>
      <c r="G96" s="5" t="n"/>
      <c r="H96" s="5" t="n"/>
      <c r="I96" s="5" t="n"/>
      <c r="J96" s="5" t="n"/>
      <c r="K96" s="5" t="n"/>
      <c r="L96" s="5" t="n"/>
      <c r="M96" s="3" t="n"/>
      <c r="N96" s="5">
        <f>IF(G96="Receipt",H96,IF(G96="Issue",-H96,0))</f>
        <v/>
      </c>
      <c r="O96" s="3">
        <f>IF(A96="","",IF(COUNTIF($A$2:$A$201,A96)&gt;1,"DUPLICATE ID",IF(OR(B96="",C96="",E96="",G96="",H96&lt;=0,L96="",K96=""),"CHECK REQUIRED",IF(AND(G96="Transfer",OR(I96="",J96="",I96=J96)),"CHECK TRANSFER","OK"))))</f>
        <v/>
      </c>
    </row>
    <row r="97">
      <c r="A97" s="5" t="n"/>
      <c r="B97" s="6" t="n"/>
      <c r="C97" s="7" t="n"/>
      <c r="D97" s="8">
        <f>IF(OR(B97="",C97=""),"",B97+C97)</f>
        <v/>
      </c>
      <c r="E97" s="5" t="n"/>
      <c r="F97" s="5" t="n"/>
      <c r="G97" s="5" t="n"/>
      <c r="H97" s="5" t="n"/>
      <c r="I97" s="5" t="n"/>
      <c r="J97" s="5" t="n"/>
      <c r="K97" s="5" t="n"/>
      <c r="L97" s="5" t="n"/>
      <c r="M97" s="3" t="n"/>
      <c r="N97" s="5">
        <f>IF(G97="Receipt",H97,IF(G97="Issue",-H97,0))</f>
        <v/>
      </c>
      <c r="O97" s="3">
        <f>IF(A97="","",IF(COUNTIF($A$2:$A$201,A97)&gt;1,"DUPLICATE ID",IF(OR(B97="",C97="",E97="",G97="",H97&lt;=0,L97="",K97=""),"CHECK REQUIRED",IF(AND(G97="Transfer",OR(I97="",J97="",I97=J97)),"CHECK TRANSFER","OK"))))</f>
        <v/>
      </c>
    </row>
    <row r="98">
      <c r="A98" s="5" t="n"/>
      <c r="B98" s="6" t="n"/>
      <c r="C98" s="7" t="n"/>
      <c r="D98" s="8">
        <f>IF(OR(B98="",C98=""),"",B98+C98)</f>
        <v/>
      </c>
      <c r="E98" s="5" t="n"/>
      <c r="F98" s="5" t="n"/>
      <c r="G98" s="5" t="n"/>
      <c r="H98" s="5" t="n"/>
      <c r="I98" s="5" t="n"/>
      <c r="J98" s="5" t="n"/>
      <c r="K98" s="5" t="n"/>
      <c r="L98" s="5" t="n"/>
      <c r="M98" s="3" t="n"/>
      <c r="N98" s="5">
        <f>IF(G98="Receipt",H98,IF(G98="Issue",-H98,0))</f>
        <v/>
      </c>
      <c r="O98" s="3">
        <f>IF(A98="","",IF(COUNTIF($A$2:$A$201,A98)&gt;1,"DUPLICATE ID",IF(OR(B98="",C98="",E98="",G98="",H98&lt;=0,L98="",K98=""),"CHECK REQUIRED",IF(AND(G98="Transfer",OR(I98="",J98="",I98=J98)),"CHECK TRANSFER","OK"))))</f>
        <v/>
      </c>
    </row>
    <row r="99">
      <c r="A99" s="5" t="n"/>
      <c r="B99" s="6" t="n"/>
      <c r="C99" s="7" t="n"/>
      <c r="D99" s="8">
        <f>IF(OR(B99="",C99=""),"",B99+C99)</f>
        <v/>
      </c>
      <c r="E99" s="5" t="n"/>
      <c r="F99" s="5" t="n"/>
      <c r="G99" s="5" t="n"/>
      <c r="H99" s="5" t="n"/>
      <c r="I99" s="5" t="n"/>
      <c r="J99" s="5" t="n"/>
      <c r="K99" s="5" t="n"/>
      <c r="L99" s="5" t="n"/>
      <c r="M99" s="3" t="n"/>
      <c r="N99" s="5">
        <f>IF(G99="Receipt",H99,IF(G99="Issue",-H99,0))</f>
        <v/>
      </c>
      <c r="O99" s="3">
        <f>IF(A99="","",IF(COUNTIF($A$2:$A$201,A99)&gt;1,"DUPLICATE ID",IF(OR(B99="",C99="",E99="",G99="",H99&lt;=0,L99="",K99=""),"CHECK REQUIRED",IF(AND(G99="Transfer",OR(I99="",J99="",I99=J99)),"CHECK TRANSFER","OK"))))</f>
        <v/>
      </c>
    </row>
    <row r="100">
      <c r="A100" s="5" t="n"/>
      <c r="B100" s="6" t="n"/>
      <c r="C100" s="7" t="n"/>
      <c r="D100" s="8">
        <f>IF(OR(B100="",C100=""),"",B100+C100)</f>
        <v/>
      </c>
      <c r="E100" s="5" t="n"/>
      <c r="F100" s="5" t="n"/>
      <c r="G100" s="5" t="n"/>
      <c r="H100" s="5" t="n"/>
      <c r="I100" s="5" t="n"/>
      <c r="J100" s="5" t="n"/>
      <c r="K100" s="5" t="n"/>
      <c r="L100" s="5" t="n"/>
      <c r="M100" s="3" t="n"/>
      <c r="N100" s="5">
        <f>IF(G100="Receipt",H100,IF(G100="Issue",-H100,0))</f>
        <v/>
      </c>
      <c r="O100" s="3">
        <f>IF(A100="","",IF(COUNTIF($A$2:$A$201,A100)&gt;1,"DUPLICATE ID",IF(OR(B100="",C100="",E100="",G100="",H100&lt;=0,L100="",K100=""),"CHECK REQUIRED",IF(AND(G100="Transfer",OR(I100="",J100="",I100=J100)),"CHECK TRANSFER","OK"))))</f>
        <v/>
      </c>
    </row>
    <row r="101">
      <c r="A101" s="5" t="n"/>
      <c r="B101" s="6" t="n"/>
      <c r="C101" s="7" t="n"/>
      <c r="D101" s="8">
        <f>IF(OR(B101="",C101=""),"",B101+C101)</f>
        <v/>
      </c>
      <c r="E101" s="5" t="n"/>
      <c r="F101" s="5" t="n"/>
      <c r="G101" s="5" t="n"/>
      <c r="H101" s="5" t="n"/>
      <c r="I101" s="5" t="n"/>
      <c r="J101" s="5" t="n"/>
      <c r="K101" s="5" t="n"/>
      <c r="L101" s="5" t="n"/>
      <c r="M101" s="3" t="n"/>
      <c r="N101" s="5">
        <f>IF(G101="Receipt",H101,IF(G101="Issue",-H101,0))</f>
        <v/>
      </c>
      <c r="O101" s="3">
        <f>IF(A101="","",IF(COUNTIF($A$2:$A$201,A101)&gt;1,"DUPLICATE ID",IF(OR(B101="",C101="",E101="",G101="",H101&lt;=0,L101="",K101=""),"CHECK REQUIRED",IF(AND(G101="Transfer",OR(I101="",J101="",I101=J101)),"CHECK TRANSFER","OK"))))</f>
        <v/>
      </c>
    </row>
    <row r="102">
      <c r="A102" s="5" t="n"/>
      <c r="B102" s="6" t="n"/>
      <c r="C102" s="7" t="n"/>
      <c r="D102" s="8">
        <f>IF(OR(B102="",C102=""),"",B102+C102)</f>
        <v/>
      </c>
      <c r="E102" s="5" t="n"/>
      <c r="F102" s="5" t="n"/>
      <c r="G102" s="5" t="n"/>
      <c r="H102" s="5" t="n"/>
      <c r="I102" s="5" t="n"/>
      <c r="J102" s="5" t="n"/>
      <c r="K102" s="5" t="n"/>
      <c r="L102" s="5" t="n"/>
      <c r="M102" s="3" t="n"/>
      <c r="N102" s="5">
        <f>IF(G102="Receipt",H102,IF(G102="Issue",-H102,0))</f>
        <v/>
      </c>
      <c r="O102" s="3">
        <f>IF(A102="","",IF(COUNTIF($A$2:$A$201,A102)&gt;1,"DUPLICATE ID",IF(OR(B102="",C102="",E102="",G102="",H102&lt;=0,L102="",K102=""),"CHECK REQUIRED",IF(AND(G102="Transfer",OR(I102="",J102="",I102=J102)),"CHECK TRANSFER","OK"))))</f>
        <v/>
      </c>
    </row>
    <row r="103">
      <c r="A103" s="5" t="n"/>
      <c r="B103" s="6" t="n"/>
      <c r="C103" s="7" t="n"/>
      <c r="D103" s="8">
        <f>IF(OR(B103="",C103=""),"",B103+C103)</f>
        <v/>
      </c>
      <c r="E103" s="5" t="n"/>
      <c r="F103" s="5" t="n"/>
      <c r="G103" s="5" t="n"/>
      <c r="H103" s="5" t="n"/>
      <c r="I103" s="5" t="n"/>
      <c r="J103" s="5" t="n"/>
      <c r="K103" s="5" t="n"/>
      <c r="L103" s="5" t="n"/>
      <c r="M103" s="3" t="n"/>
      <c r="N103" s="5">
        <f>IF(G103="Receipt",H103,IF(G103="Issue",-H103,0))</f>
        <v/>
      </c>
      <c r="O103" s="3">
        <f>IF(A103="","",IF(COUNTIF($A$2:$A$201,A103)&gt;1,"DUPLICATE ID",IF(OR(B103="",C103="",E103="",G103="",H103&lt;=0,L103="",K103=""),"CHECK REQUIRED",IF(AND(G103="Transfer",OR(I103="",J103="",I103=J103)),"CHECK TRANSFER","OK"))))</f>
        <v/>
      </c>
    </row>
    <row r="104">
      <c r="A104" s="5" t="n"/>
      <c r="B104" s="6" t="n"/>
      <c r="C104" s="7" t="n"/>
      <c r="D104" s="8">
        <f>IF(OR(B104="",C104=""),"",B104+C104)</f>
        <v/>
      </c>
      <c r="E104" s="5" t="n"/>
      <c r="F104" s="5" t="n"/>
      <c r="G104" s="5" t="n"/>
      <c r="H104" s="5" t="n"/>
      <c r="I104" s="5" t="n"/>
      <c r="J104" s="5" t="n"/>
      <c r="K104" s="5" t="n"/>
      <c r="L104" s="5" t="n"/>
      <c r="M104" s="3" t="n"/>
      <c r="N104" s="5">
        <f>IF(G104="Receipt",H104,IF(G104="Issue",-H104,0))</f>
        <v/>
      </c>
      <c r="O104" s="3">
        <f>IF(A104="","",IF(COUNTIF($A$2:$A$201,A104)&gt;1,"DUPLICATE ID",IF(OR(B104="",C104="",E104="",G104="",H104&lt;=0,L104="",K104=""),"CHECK REQUIRED",IF(AND(G104="Transfer",OR(I104="",J104="",I104=J104)),"CHECK TRANSFER","OK"))))</f>
        <v/>
      </c>
    </row>
    <row r="105">
      <c r="A105" s="5" t="n"/>
      <c r="B105" s="6" t="n"/>
      <c r="C105" s="7" t="n"/>
      <c r="D105" s="8">
        <f>IF(OR(B105="",C105=""),"",B105+C105)</f>
        <v/>
      </c>
      <c r="E105" s="5" t="n"/>
      <c r="F105" s="5" t="n"/>
      <c r="G105" s="5" t="n"/>
      <c r="H105" s="5" t="n"/>
      <c r="I105" s="5" t="n"/>
      <c r="J105" s="5" t="n"/>
      <c r="K105" s="5" t="n"/>
      <c r="L105" s="5" t="n"/>
      <c r="M105" s="3" t="n"/>
      <c r="N105" s="5">
        <f>IF(G105="Receipt",H105,IF(G105="Issue",-H105,0))</f>
        <v/>
      </c>
      <c r="O105" s="3">
        <f>IF(A105="","",IF(COUNTIF($A$2:$A$201,A105)&gt;1,"DUPLICATE ID",IF(OR(B105="",C105="",E105="",G105="",H105&lt;=0,L105="",K105=""),"CHECK REQUIRED",IF(AND(G105="Transfer",OR(I105="",J105="",I105=J105)),"CHECK TRANSFER","OK"))))</f>
        <v/>
      </c>
    </row>
    <row r="106">
      <c r="A106" s="5" t="n"/>
      <c r="B106" s="6" t="n"/>
      <c r="C106" s="7" t="n"/>
      <c r="D106" s="8">
        <f>IF(OR(B106="",C106=""),"",B106+C106)</f>
        <v/>
      </c>
      <c r="E106" s="5" t="n"/>
      <c r="F106" s="5" t="n"/>
      <c r="G106" s="5" t="n"/>
      <c r="H106" s="5" t="n"/>
      <c r="I106" s="5" t="n"/>
      <c r="J106" s="5" t="n"/>
      <c r="K106" s="5" t="n"/>
      <c r="L106" s="5" t="n"/>
      <c r="M106" s="3" t="n"/>
      <c r="N106" s="5">
        <f>IF(G106="Receipt",H106,IF(G106="Issue",-H106,0))</f>
        <v/>
      </c>
      <c r="O106" s="3">
        <f>IF(A106="","",IF(COUNTIF($A$2:$A$201,A106)&gt;1,"DUPLICATE ID",IF(OR(B106="",C106="",E106="",G106="",H106&lt;=0,L106="",K106=""),"CHECK REQUIRED",IF(AND(G106="Transfer",OR(I106="",J106="",I106=J106)),"CHECK TRANSFER","OK"))))</f>
        <v/>
      </c>
    </row>
    <row r="107">
      <c r="A107" s="5" t="n"/>
      <c r="B107" s="6" t="n"/>
      <c r="C107" s="7" t="n"/>
      <c r="D107" s="8">
        <f>IF(OR(B107="",C107=""),"",B107+C107)</f>
        <v/>
      </c>
      <c r="E107" s="5" t="n"/>
      <c r="F107" s="5" t="n"/>
      <c r="G107" s="5" t="n"/>
      <c r="H107" s="5" t="n"/>
      <c r="I107" s="5" t="n"/>
      <c r="J107" s="5" t="n"/>
      <c r="K107" s="5" t="n"/>
      <c r="L107" s="5" t="n"/>
      <c r="M107" s="3" t="n"/>
      <c r="N107" s="5">
        <f>IF(G107="Receipt",H107,IF(G107="Issue",-H107,0))</f>
        <v/>
      </c>
      <c r="O107" s="3">
        <f>IF(A107="","",IF(COUNTIF($A$2:$A$201,A107)&gt;1,"DUPLICATE ID",IF(OR(B107="",C107="",E107="",G107="",H107&lt;=0,L107="",K107=""),"CHECK REQUIRED",IF(AND(G107="Transfer",OR(I107="",J107="",I107=J107)),"CHECK TRANSFER","OK"))))</f>
        <v/>
      </c>
    </row>
    <row r="108">
      <c r="A108" s="5" t="n"/>
      <c r="B108" s="6" t="n"/>
      <c r="C108" s="7" t="n"/>
      <c r="D108" s="8">
        <f>IF(OR(B108="",C108=""),"",B108+C108)</f>
        <v/>
      </c>
      <c r="E108" s="5" t="n"/>
      <c r="F108" s="5" t="n"/>
      <c r="G108" s="5" t="n"/>
      <c r="H108" s="5" t="n"/>
      <c r="I108" s="5" t="n"/>
      <c r="J108" s="5" t="n"/>
      <c r="K108" s="5" t="n"/>
      <c r="L108" s="5" t="n"/>
      <c r="M108" s="3" t="n"/>
      <c r="N108" s="5">
        <f>IF(G108="Receipt",H108,IF(G108="Issue",-H108,0))</f>
        <v/>
      </c>
      <c r="O108" s="3">
        <f>IF(A108="","",IF(COUNTIF($A$2:$A$201,A108)&gt;1,"DUPLICATE ID",IF(OR(B108="",C108="",E108="",G108="",H108&lt;=0,L108="",K108=""),"CHECK REQUIRED",IF(AND(G108="Transfer",OR(I108="",J108="",I108=J108)),"CHECK TRANSFER","OK"))))</f>
        <v/>
      </c>
    </row>
    <row r="109">
      <c r="A109" s="5" t="n"/>
      <c r="B109" s="6" t="n"/>
      <c r="C109" s="7" t="n"/>
      <c r="D109" s="8">
        <f>IF(OR(B109="",C109=""),"",B109+C109)</f>
        <v/>
      </c>
      <c r="E109" s="5" t="n"/>
      <c r="F109" s="5" t="n"/>
      <c r="G109" s="5" t="n"/>
      <c r="H109" s="5" t="n"/>
      <c r="I109" s="5" t="n"/>
      <c r="J109" s="5" t="n"/>
      <c r="K109" s="5" t="n"/>
      <c r="L109" s="5" t="n"/>
      <c r="M109" s="3" t="n"/>
      <c r="N109" s="5">
        <f>IF(G109="Receipt",H109,IF(G109="Issue",-H109,0))</f>
        <v/>
      </c>
      <c r="O109" s="3">
        <f>IF(A109="","",IF(COUNTIF($A$2:$A$201,A109)&gt;1,"DUPLICATE ID",IF(OR(B109="",C109="",E109="",G109="",H109&lt;=0,L109="",K109=""),"CHECK REQUIRED",IF(AND(G109="Transfer",OR(I109="",J109="",I109=J109)),"CHECK TRANSFER","OK"))))</f>
        <v/>
      </c>
    </row>
    <row r="110">
      <c r="A110" s="5" t="n"/>
      <c r="B110" s="6" t="n"/>
      <c r="C110" s="7" t="n"/>
      <c r="D110" s="8">
        <f>IF(OR(B110="",C110=""),"",B110+C110)</f>
        <v/>
      </c>
      <c r="E110" s="5" t="n"/>
      <c r="F110" s="5" t="n"/>
      <c r="G110" s="5" t="n"/>
      <c r="H110" s="5" t="n"/>
      <c r="I110" s="5" t="n"/>
      <c r="J110" s="5" t="n"/>
      <c r="K110" s="5" t="n"/>
      <c r="L110" s="5" t="n"/>
      <c r="M110" s="3" t="n"/>
      <c r="N110" s="5">
        <f>IF(G110="Receipt",H110,IF(G110="Issue",-H110,0))</f>
        <v/>
      </c>
      <c r="O110" s="3">
        <f>IF(A110="","",IF(COUNTIF($A$2:$A$201,A110)&gt;1,"DUPLICATE ID",IF(OR(B110="",C110="",E110="",G110="",H110&lt;=0,L110="",K110=""),"CHECK REQUIRED",IF(AND(G110="Transfer",OR(I110="",J110="",I110=J110)),"CHECK TRANSFER","OK"))))</f>
        <v/>
      </c>
    </row>
    <row r="111">
      <c r="A111" s="5" t="n"/>
      <c r="B111" s="6" t="n"/>
      <c r="C111" s="7" t="n"/>
      <c r="D111" s="8">
        <f>IF(OR(B111="",C111=""),"",B111+C111)</f>
        <v/>
      </c>
      <c r="E111" s="5" t="n"/>
      <c r="F111" s="5" t="n"/>
      <c r="G111" s="5" t="n"/>
      <c r="H111" s="5" t="n"/>
      <c r="I111" s="5" t="n"/>
      <c r="J111" s="5" t="n"/>
      <c r="K111" s="5" t="n"/>
      <c r="L111" s="5" t="n"/>
      <c r="M111" s="3" t="n"/>
      <c r="N111" s="5">
        <f>IF(G111="Receipt",H111,IF(G111="Issue",-H111,0))</f>
        <v/>
      </c>
      <c r="O111" s="3">
        <f>IF(A111="","",IF(COUNTIF($A$2:$A$201,A111)&gt;1,"DUPLICATE ID",IF(OR(B111="",C111="",E111="",G111="",H111&lt;=0,L111="",K111=""),"CHECK REQUIRED",IF(AND(G111="Transfer",OR(I111="",J111="",I111=J111)),"CHECK TRANSFER","OK"))))</f>
        <v/>
      </c>
    </row>
    <row r="112">
      <c r="A112" s="5" t="n"/>
      <c r="B112" s="6" t="n"/>
      <c r="C112" s="7" t="n"/>
      <c r="D112" s="8">
        <f>IF(OR(B112="",C112=""),"",B112+C112)</f>
        <v/>
      </c>
      <c r="E112" s="5" t="n"/>
      <c r="F112" s="5" t="n"/>
      <c r="G112" s="5" t="n"/>
      <c r="H112" s="5" t="n"/>
      <c r="I112" s="5" t="n"/>
      <c r="J112" s="5" t="n"/>
      <c r="K112" s="5" t="n"/>
      <c r="L112" s="5" t="n"/>
      <c r="M112" s="3" t="n"/>
      <c r="N112" s="5">
        <f>IF(G112="Receipt",H112,IF(G112="Issue",-H112,0))</f>
        <v/>
      </c>
      <c r="O112" s="3">
        <f>IF(A112="","",IF(COUNTIF($A$2:$A$201,A112)&gt;1,"DUPLICATE ID",IF(OR(B112="",C112="",E112="",G112="",H112&lt;=0,L112="",K112=""),"CHECK REQUIRED",IF(AND(G112="Transfer",OR(I112="",J112="",I112=J112)),"CHECK TRANSFER","OK"))))</f>
        <v/>
      </c>
    </row>
    <row r="113">
      <c r="A113" s="5" t="n"/>
      <c r="B113" s="6" t="n"/>
      <c r="C113" s="7" t="n"/>
      <c r="D113" s="8">
        <f>IF(OR(B113="",C113=""),"",B113+C113)</f>
        <v/>
      </c>
      <c r="E113" s="5" t="n"/>
      <c r="F113" s="5" t="n"/>
      <c r="G113" s="5" t="n"/>
      <c r="H113" s="5" t="n"/>
      <c r="I113" s="5" t="n"/>
      <c r="J113" s="5" t="n"/>
      <c r="K113" s="5" t="n"/>
      <c r="L113" s="5" t="n"/>
      <c r="M113" s="3" t="n"/>
      <c r="N113" s="5">
        <f>IF(G113="Receipt",H113,IF(G113="Issue",-H113,0))</f>
        <v/>
      </c>
      <c r="O113" s="3">
        <f>IF(A113="","",IF(COUNTIF($A$2:$A$201,A113)&gt;1,"DUPLICATE ID",IF(OR(B113="",C113="",E113="",G113="",H113&lt;=0,L113="",K113=""),"CHECK REQUIRED",IF(AND(G113="Transfer",OR(I113="",J113="",I113=J113)),"CHECK TRANSFER","OK"))))</f>
        <v/>
      </c>
    </row>
    <row r="114">
      <c r="A114" s="5" t="n"/>
      <c r="B114" s="6" t="n"/>
      <c r="C114" s="7" t="n"/>
      <c r="D114" s="8">
        <f>IF(OR(B114="",C114=""),"",B114+C114)</f>
        <v/>
      </c>
      <c r="E114" s="5" t="n"/>
      <c r="F114" s="5" t="n"/>
      <c r="G114" s="5" t="n"/>
      <c r="H114" s="5" t="n"/>
      <c r="I114" s="5" t="n"/>
      <c r="J114" s="5" t="n"/>
      <c r="K114" s="5" t="n"/>
      <c r="L114" s="5" t="n"/>
      <c r="M114" s="3" t="n"/>
      <c r="N114" s="5">
        <f>IF(G114="Receipt",H114,IF(G114="Issue",-H114,0))</f>
        <v/>
      </c>
      <c r="O114" s="3">
        <f>IF(A114="","",IF(COUNTIF($A$2:$A$201,A114)&gt;1,"DUPLICATE ID",IF(OR(B114="",C114="",E114="",G114="",H114&lt;=0,L114="",K114=""),"CHECK REQUIRED",IF(AND(G114="Transfer",OR(I114="",J114="",I114=J114)),"CHECK TRANSFER","OK"))))</f>
        <v/>
      </c>
    </row>
    <row r="115">
      <c r="A115" s="5" t="n"/>
      <c r="B115" s="6" t="n"/>
      <c r="C115" s="7" t="n"/>
      <c r="D115" s="8">
        <f>IF(OR(B115="",C115=""),"",B115+C115)</f>
        <v/>
      </c>
      <c r="E115" s="5" t="n"/>
      <c r="F115" s="5" t="n"/>
      <c r="G115" s="5" t="n"/>
      <c r="H115" s="5" t="n"/>
      <c r="I115" s="5" t="n"/>
      <c r="J115" s="5" t="n"/>
      <c r="K115" s="5" t="n"/>
      <c r="L115" s="5" t="n"/>
      <c r="M115" s="3" t="n"/>
      <c r="N115" s="5">
        <f>IF(G115="Receipt",H115,IF(G115="Issue",-H115,0))</f>
        <v/>
      </c>
      <c r="O115" s="3">
        <f>IF(A115="","",IF(COUNTIF($A$2:$A$201,A115)&gt;1,"DUPLICATE ID",IF(OR(B115="",C115="",E115="",G115="",H115&lt;=0,L115="",K115=""),"CHECK REQUIRED",IF(AND(G115="Transfer",OR(I115="",J115="",I115=J115)),"CHECK TRANSFER","OK"))))</f>
        <v/>
      </c>
    </row>
    <row r="116">
      <c r="A116" s="5" t="n"/>
      <c r="B116" s="6" t="n"/>
      <c r="C116" s="7" t="n"/>
      <c r="D116" s="8">
        <f>IF(OR(B116="",C116=""),"",B116+C116)</f>
        <v/>
      </c>
      <c r="E116" s="5" t="n"/>
      <c r="F116" s="5" t="n"/>
      <c r="G116" s="5" t="n"/>
      <c r="H116" s="5" t="n"/>
      <c r="I116" s="5" t="n"/>
      <c r="J116" s="5" t="n"/>
      <c r="K116" s="5" t="n"/>
      <c r="L116" s="5" t="n"/>
      <c r="M116" s="3" t="n"/>
      <c r="N116" s="5">
        <f>IF(G116="Receipt",H116,IF(G116="Issue",-H116,0))</f>
        <v/>
      </c>
      <c r="O116" s="3">
        <f>IF(A116="","",IF(COUNTIF($A$2:$A$201,A116)&gt;1,"DUPLICATE ID",IF(OR(B116="",C116="",E116="",G116="",H116&lt;=0,L116="",K116=""),"CHECK REQUIRED",IF(AND(G116="Transfer",OR(I116="",J116="",I116=J116)),"CHECK TRANSFER","OK"))))</f>
        <v/>
      </c>
    </row>
    <row r="117">
      <c r="A117" s="5" t="n"/>
      <c r="B117" s="6" t="n"/>
      <c r="C117" s="7" t="n"/>
      <c r="D117" s="8">
        <f>IF(OR(B117="",C117=""),"",B117+C117)</f>
        <v/>
      </c>
      <c r="E117" s="5" t="n"/>
      <c r="F117" s="5" t="n"/>
      <c r="G117" s="5" t="n"/>
      <c r="H117" s="5" t="n"/>
      <c r="I117" s="5" t="n"/>
      <c r="J117" s="5" t="n"/>
      <c r="K117" s="5" t="n"/>
      <c r="L117" s="5" t="n"/>
      <c r="M117" s="3" t="n"/>
      <c r="N117" s="5">
        <f>IF(G117="Receipt",H117,IF(G117="Issue",-H117,0))</f>
        <v/>
      </c>
      <c r="O117" s="3">
        <f>IF(A117="","",IF(COUNTIF($A$2:$A$201,A117)&gt;1,"DUPLICATE ID",IF(OR(B117="",C117="",E117="",G117="",H117&lt;=0,L117="",K117=""),"CHECK REQUIRED",IF(AND(G117="Transfer",OR(I117="",J117="",I117=J117)),"CHECK TRANSFER","OK"))))</f>
        <v/>
      </c>
    </row>
    <row r="118">
      <c r="A118" s="5" t="n"/>
      <c r="B118" s="6" t="n"/>
      <c r="C118" s="7" t="n"/>
      <c r="D118" s="8">
        <f>IF(OR(B118="",C118=""),"",B118+C118)</f>
        <v/>
      </c>
      <c r="E118" s="5" t="n"/>
      <c r="F118" s="5" t="n"/>
      <c r="G118" s="5" t="n"/>
      <c r="H118" s="5" t="n"/>
      <c r="I118" s="5" t="n"/>
      <c r="J118" s="5" t="n"/>
      <c r="K118" s="5" t="n"/>
      <c r="L118" s="5" t="n"/>
      <c r="M118" s="3" t="n"/>
      <c r="N118" s="5">
        <f>IF(G118="Receipt",H118,IF(G118="Issue",-H118,0))</f>
        <v/>
      </c>
      <c r="O118" s="3">
        <f>IF(A118="","",IF(COUNTIF($A$2:$A$201,A118)&gt;1,"DUPLICATE ID",IF(OR(B118="",C118="",E118="",G118="",H118&lt;=0,L118="",K118=""),"CHECK REQUIRED",IF(AND(G118="Transfer",OR(I118="",J118="",I118=J118)),"CHECK TRANSFER","OK"))))</f>
        <v/>
      </c>
    </row>
    <row r="119">
      <c r="A119" s="5" t="n"/>
      <c r="B119" s="6" t="n"/>
      <c r="C119" s="7" t="n"/>
      <c r="D119" s="8">
        <f>IF(OR(B119="",C119=""),"",B119+C119)</f>
        <v/>
      </c>
      <c r="E119" s="5" t="n"/>
      <c r="F119" s="5" t="n"/>
      <c r="G119" s="5" t="n"/>
      <c r="H119" s="5" t="n"/>
      <c r="I119" s="5" t="n"/>
      <c r="J119" s="5" t="n"/>
      <c r="K119" s="5" t="n"/>
      <c r="L119" s="5" t="n"/>
      <c r="M119" s="3" t="n"/>
      <c r="N119" s="5">
        <f>IF(G119="Receipt",H119,IF(G119="Issue",-H119,0))</f>
        <v/>
      </c>
      <c r="O119" s="3">
        <f>IF(A119="","",IF(COUNTIF($A$2:$A$201,A119)&gt;1,"DUPLICATE ID",IF(OR(B119="",C119="",E119="",G119="",H119&lt;=0,L119="",K119=""),"CHECK REQUIRED",IF(AND(G119="Transfer",OR(I119="",J119="",I119=J119)),"CHECK TRANSFER","OK"))))</f>
        <v/>
      </c>
    </row>
    <row r="120">
      <c r="A120" s="5" t="n"/>
      <c r="B120" s="6" t="n"/>
      <c r="C120" s="7" t="n"/>
      <c r="D120" s="8">
        <f>IF(OR(B120="",C120=""),"",B120+C120)</f>
        <v/>
      </c>
      <c r="E120" s="5" t="n"/>
      <c r="F120" s="5" t="n"/>
      <c r="G120" s="5" t="n"/>
      <c r="H120" s="5" t="n"/>
      <c r="I120" s="5" t="n"/>
      <c r="J120" s="5" t="n"/>
      <c r="K120" s="5" t="n"/>
      <c r="L120" s="5" t="n"/>
      <c r="M120" s="3" t="n"/>
      <c r="N120" s="5">
        <f>IF(G120="Receipt",H120,IF(G120="Issue",-H120,0))</f>
        <v/>
      </c>
      <c r="O120" s="3">
        <f>IF(A120="","",IF(COUNTIF($A$2:$A$201,A120)&gt;1,"DUPLICATE ID",IF(OR(B120="",C120="",E120="",G120="",H120&lt;=0,L120="",K120=""),"CHECK REQUIRED",IF(AND(G120="Transfer",OR(I120="",J120="",I120=J120)),"CHECK TRANSFER","OK"))))</f>
        <v/>
      </c>
    </row>
    <row r="121">
      <c r="A121" s="5" t="n"/>
      <c r="B121" s="6" t="n"/>
      <c r="C121" s="7" t="n"/>
      <c r="D121" s="8">
        <f>IF(OR(B121="",C121=""),"",B121+C121)</f>
        <v/>
      </c>
      <c r="E121" s="5" t="n"/>
      <c r="F121" s="5" t="n"/>
      <c r="G121" s="5" t="n"/>
      <c r="H121" s="5" t="n"/>
      <c r="I121" s="5" t="n"/>
      <c r="J121" s="5" t="n"/>
      <c r="K121" s="5" t="n"/>
      <c r="L121" s="5" t="n"/>
      <c r="M121" s="3" t="n"/>
      <c r="N121" s="5">
        <f>IF(G121="Receipt",H121,IF(G121="Issue",-H121,0))</f>
        <v/>
      </c>
      <c r="O121" s="3">
        <f>IF(A121="","",IF(COUNTIF($A$2:$A$201,A121)&gt;1,"DUPLICATE ID",IF(OR(B121="",C121="",E121="",G121="",H121&lt;=0,L121="",K121=""),"CHECK REQUIRED",IF(AND(G121="Transfer",OR(I121="",J121="",I121=J121)),"CHECK TRANSFER","OK"))))</f>
        <v/>
      </c>
    </row>
    <row r="122">
      <c r="A122" s="5" t="n"/>
      <c r="B122" s="6" t="n"/>
      <c r="C122" s="7" t="n"/>
      <c r="D122" s="8">
        <f>IF(OR(B122="",C122=""),"",B122+C122)</f>
        <v/>
      </c>
      <c r="E122" s="5" t="n"/>
      <c r="F122" s="5" t="n"/>
      <c r="G122" s="5" t="n"/>
      <c r="H122" s="5" t="n"/>
      <c r="I122" s="5" t="n"/>
      <c r="J122" s="5" t="n"/>
      <c r="K122" s="5" t="n"/>
      <c r="L122" s="5" t="n"/>
      <c r="M122" s="3" t="n"/>
      <c r="N122" s="5">
        <f>IF(G122="Receipt",H122,IF(G122="Issue",-H122,0))</f>
        <v/>
      </c>
      <c r="O122" s="3">
        <f>IF(A122="","",IF(COUNTIF($A$2:$A$201,A122)&gt;1,"DUPLICATE ID",IF(OR(B122="",C122="",E122="",G122="",H122&lt;=0,L122="",K122=""),"CHECK REQUIRED",IF(AND(G122="Transfer",OR(I122="",J122="",I122=J122)),"CHECK TRANSFER","OK"))))</f>
        <v/>
      </c>
    </row>
    <row r="123">
      <c r="A123" s="5" t="n"/>
      <c r="B123" s="6" t="n"/>
      <c r="C123" s="7" t="n"/>
      <c r="D123" s="8">
        <f>IF(OR(B123="",C123=""),"",B123+C123)</f>
        <v/>
      </c>
      <c r="E123" s="5" t="n"/>
      <c r="F123" s="5" t="n"/>
      <c r="G123" s="5" t="n"/>
      <c r="H123" s="5" t="n"/>
      <c r="I123" s="5" t="n"/>
      <c r="J123" s="5" t="n"/>
      <c r="K123" s="5" t="n"/>
      <c r="L123" s="5" t="n"/>
      <c r="M123" s="3" t="n"/>
      <c r="N123" s="5">
        <f>IF(G123="Receipt",H123,IF(G123="Issue",-H123,0))</f>
        <v/>
      </c>
      <c r="O123" s="3">
        <f>IF(A123="","",IF(COUNTIF($A$2:$A$201,A123)&gt;1,"DUPLICATE ID",IF(OR(B123="",C123="",E123="",G123="",H123&lt;=0,L123="",K123=""),"CHECK REQUIRED",IF(AND(G123="Transfer",OR(I123="",J123="",I123=J123)),"CHECK TRANSFER","OK"))))</f>
        <v/>
      </c>
    </row>
    <row r="124">
      <c r="A124" s="5" t="n"/>
      <c r="B124" s="6" t="n"/>
      <c r="C124" s="7" t="n"/>
      <c r="D124" s="8">
        <f>IF(OR(B124="",C124=""),"",B124+C124)</f>
        <v/>
      </c>
      <c r="E124" s="5" t="n"/>
      <c r="F124" s="5" t="n"/>
      <c r="G124" s="5" t="n"/>
      <c r="H124" s="5" t="n"/>
      <c r="I124" s="5" t="n"/>
      <c r="J124" s="5" t="n"/>
      <c r="K124" s="5" t="n"/>
      <c r="L124" s="5" t="n"/>
      <c r="M124" s="3" t="n"/>
      <c r="N124" s="5">
        <f>IF(G124="Receipt",H124,IF(G124="Issue",-H124,0))</f>
        <v/>
      </c>
      <c r="O124" s="3">
        <f>IF(A124="","",IF(COUNTIF($A$2:$A$201,A124)&gt;1,"DUPLICATE ID",IF(OR(B124="",C124="",E124="",G124="",H124&lt;=0,L124="",K124=""),"CHECK REQUIRED",IF(AND(G124="Transfer",OR(I124="",J124="",I124=J124)),"CHECK TRANSFER","OK"))))</f>
        <v/>
      </c>
    </row>
    <row r="125">
      <c r="A125" s="5" t="n"/>
      <c r="B125" s="6" t="n"/>
      <c r="C125" s="7" t="n"/>
      <c r="D125" s="8">
        <f>IF(OR(B125="",C125=""),"",B125+C125)</f>
        <v/>
      </c>
      <c r="E125" s="5" t="n"/>
      <c r="F125" s="5" t="n"/>
      <c r="G125" s="5" t="n"/>
      <c r="H125" s="5" t="n"/>
      <c r="I125" s="5" t="n"/>
      <c r="J125" s="5" t="n"/>
      <c r="K125" s="5" t="n"/>
      <c r="L125" s="5" t="n"/>
      <c r="M125" s="3" t="n"/>
      <c r="N125" s="5">
        <f>IF(G125="Receipt",H125,IF(G125="Issue",-H125,0))</f>
        <v/>
      </c>
      <c r="O125" s="3">
        <f>IF(A125="","",IF(COUNTIF($A$2:$A$201,A125)&gt;1,"DUPLICATE ID",IF(OR(B125="",C125="",E125="",G125="",H125&lt;=0,L125="",K125=""),"CHECK REQUIRED",IF(AND(G125="Transfer",OR(I125="",J125="",I125=J125)),"CHECK TRANSFER","OK"))))</f>
        <v/>
      </c>
    </row>
    <row r="126">
      <c r="A126" s="5" t="n"/>
      <c r="B126" s="6" t="n"/>
      <c r="C126" s="7" t="n"/>
      <c r="D126" s="8">
        <f>IF(OR(B126="",C126=""),"",B126+C126)</f>
        <v/>
      </c>
      <c r="E126" s="5" t="n"/>
      <c r="F126" s="5" t="n"/>
      <c r="G126" s="5" t="n"/>
      <c r="H126" s="5" t="n"/>
      <c r="I126" s="5" t="n"/>
      <c r="J126" s="5" t="n"/>
      <c r="K126" s="5" t="n"/>
      <c r="L126" s="5" t="n"/>
      <c r="M126" s="3" t="n"/>
      <c r="N126" s="5">
        <f>IF(G126="Receipt",H126,IF(G126="Issue",-H126,0))</f>
        <v/>
      </c>
      <c r="O126" s="3">
        <f>IF(A126="","",IF(COUNTIF($A$2:$A$201,A126)&gt;1,"DUPLICATE ID",IF(OR(B126="",C126="",E126="",G126="",H126&lt;=0,L126="",K126=""),"CHECK REQUIRED",IF(AND(G126="Transfer",OR(I126="",J126="",I126=J126)),"CHECK TRANSFER","OK"))))</f>
        <v/>
      </c>
    </row>
    <row r="127">
      <c r="A127" s="5" t="n"/>
      <c r="B127" s="6" t="n"/>
      <c r="C127" s="7" t="n"/>
      <c r="D127" s="8">
        <f>IF(OR(B127="",C127=""),"",B127+C127)</f>
        <v/>
      </c>
      <c r="E127" s="5" t="n"/>
      <c r="F127" s="5" t="n"/>
      <c r="G127" s="5" t="n"/>
      <c r="H127" s="5" t="n"/>
      <c r="I127" s="5" t="n"/>
      <c r="J127" s="5" t="n"/>
      <c r="K127" s="5" t="n"/>
      <c r="L127" s="5" t="n"/>
      <c r="M127" s="3" t="n"/>
      <c r="N127" s="5">
        <f>IF(G127="Receipt",H127,IF(G127="Issue",-H127,0))</f>
        <v/>
      </c>
      <c r="O127" s="3">
        <f>IF(A127="","",IF(COUNTIF($A$2:$A$201,A127)&gt;1,"DUPLICATE ID",IF(OR(B127="",C127="",E127="",G127="",H127&lt;=0,L127="",K127=""),"CHECK REQUIRED",IF(AND(G127="Transfer",OR(I127="",J127="",I127=J127)),"CHECK TRANSFER","OK"))))</f>
        <v/>
      </c>
    </row>
    <row r="128">
      <c r="A128" s="5" t="n"/>
      <c r="B128" s="6" t="n"/>
      <c r="C128" s="7" t="n"/>
      <c r="D128" s="8">
        <f>IF(OR(B128="",C128=""),"",B128+C128)</f>
        <v/>
      </c>
      <c r="E128" s="5" t="n"/>
      <c r="F128" s="5" t="n"/>
      <c r="G128" s="5" t="n"/>
      <c r="H128" s="5" t="n"/>
      <c r="I128" s="5" t="n"/>
      <c r="J128" s="5" t="n"/>
      <c r="K128" s="5" t="n"/>
      <c r="L128" s="5" t="n"/>
      <c r="M128" s="3" t="n"/>
      <c r="N128" s="5">
        <f>IF(G128="Receipt",H128,IF(G128="Issue",-H128,0))</f>
        <v/>
      </c>
      <c r="O128" s="3">
        <f>IF(A128="","",IF(COUNTIF($A$2:$A$201,A128)&gt;1,"DUPLICATE ID",IF(OR(B128="",C128="",E128="",G128="",H128&lt;=0,L128="",K128=""),"CHECK REQUIRED",IF(AND(G128="Transfer",OR(I128="",J128="",I128=J128)),"CHECK TRANSFER","OK"))))</f>
        <v/>
      </c>
    </row>
    <row r="129">
      <c r="A129" s="5" t="n"/>
      <c r="B129" s="6" t="n"/>
      <c r="C129" s="7" t="n"/>
      <c r="D129" s="8">
        <f>IF(OR(B129="",C129=""),"",B129+C129)</f>
        <v/>
      </c>
      <c r="E129" s="5" t="n"/>
      <c r="F129" s="5" t="n"/>
      <c r="G129" s="5" t="n"/>
      <c r="H129" s="5" t="n"/>
      <c r="I129" s="5" t="n"/>
      <c r="J129" s="5" t="n"/>
      <c r="K129" s="5" t="n"/>
      <c r="L129" s="5" t="n"/>
      <c r="M129" s="3" t="n"/>
      <c r="N129" s="5">
        <f>IF(G129="Receipt",H129,IF(G129="Issue",-H129,0))</f>
        <v/>
      </c>
      <c r="O129" s="3">
        <f>IF(A129="","",IF(COUNTIF($A$2:$A$201,A129)&gt;1,"DUPLICATE ID",IF(OR(B129="",C129="",E129="",G129="",H129&lt;=0,L129="",K129=""),"CHECK REQUIRED",IF(AND(G129="Transfer",OR(I129="",J129="",I129=J129)),"CHECK TRANSFER","OK"))))</f>
        <v/>
      </c>
    </row>
    <row r="130">
      <c r="A130" s="5" t="n"/>
      <c r="B130" s="6" t="n"/>
      <c r="C130" s="7" t="n"/>
      <c r="D130" s="8">
        <f>IF(OR(B130="",C130=""),"",B130+C130)</f>
        <v/>
      </c>
      <c r="E130" s="5" t="n"/>
      <c r="F130" s="5" t="n"/>
      <c r="G130" s="5" t="n"/>
      <c r="H130" s="5" t="n"/>
      <c r="I130" s="5" t="n"/>
      <c r="J130" s="5" t="n"/>
      <c r="K130" s="5" t="n"/>
      <c r="L130" s="5" t="n"/>
      <c r="M130" s="3" t="n"/>
      <c r="N130" s="5">
        <f>IF(G130="Receipt",H130,IF(G130="Issue",-H130,0))</f>
        <v/>
      </c>
      <c r="O130" s="3">
        <f>IF(A130="","",IF(COUNTIF($A$2:$A$201,A130)&gt;1,"DUPLICATE ID",IF(OR(B130="",C130="",E130="",G130="",H130&lt;=0,L130="",K130=""),"CHECK REQUIRED",IF(AND(G130="Transfer",OR(I130="",J130="",I130=J130)),"CHECK TRANSFER","OK"))))</f>
        <v/>
      </c>
    </row>
    <row r="131">
      <c r="A131" s="5" t="n"/>
      <c r="B131" s="6" t="n"/>
      <c r="C131" s="7" t="n"/>
      <c r="D131" s="8">
        <f>IF(OR(B131="",C131=""),"",B131+C131)</f>
        <v/>
      </c>
      <c r="E131" s="5" t="n"/>
      <c r="F131" s="5" t="n"/>
      <c r="G131" s="5" t="n"/>
      <c r="H131" s="5" t="n"/>
      <c r="I131" s="5" t="n"/>
      <c r="J131" s="5" t="n"/>
      <c r="K131" s="5" t="n"/>
      <c r="L131" s="5" t="n"/>
      <c r="M131" s="3" t="n"/>
      <c r="N131" s="5">
        <f>IF(G131="Receipt",H131,IF(G131="Issue",-H131,0))</f>
        <v/>
      </c>
      <c r="O131" s="3">
        <f>IF(A131="","",IF(COUNTIF($A$2:$A$201,A131)&gt;1,"DUPLICATE ID",IF(OR(B131="",C131="",E131="",G131="",H131&lt;=0,L131="",K131=""),"CHECK REQUIRED",IF(AND(G131="Transfer",OR(I131="",J131="",I131=J131)),"CHECK TRANSFER","OK"))))</f>
        <v/>
      </c>
    </row>
    <row r="132">
      <c r="A132" s="5" t="n"/>
      <c r="B132" s="6" t="n"/>
      <c r="C132" s="7" t="n"/>
      <c r="D132" s="8">
        <f>IF(OR(B132="",C132=""),"",B132+C132)</f>
        <v/>
      </c>
      <c r="E132" s="5" t="n"/>
      <c r="F132" s="5" t="n"/>
      <c r="G132" s="5" t="n"/>
      <c r="H132" s="5" t="n"/>
      <c r="I132" s="5" t="n"/>
      <c r="J132" s="5" t="n"/>
      <c r="K132" s="5" t="n"/>
      <c r="L132" s="5" t="n"/>
      <c r="M132" s="3" t="n"/>
      <c r="N132" s="5">
        <f>IF(G132="Receipt",H132,IF(G132="Issue",-H132,0))</f>
        <v/>
      </c>
      <c r="O132" s="3">
        <f>IF(A132="","",IF(COUNTIF($A$2:$A$201,A132)&gt;1,"DUPLICATE ID",IF(OR(B132="",C132="",E132="",G132="",H132&lt;=0,L132="",K132=""),"CHECK REQUIRED",IF(AND(G132="Transfer",OR(I132="",J132="",I132=J132)),"CHECK TRANSFER","OK"))))</f>
        <v/>
      </c>
    </row>
    <row r="133">
      <c r="A133" s="5" t="n"/>
      <c r="B133" s="6" t="n"/>
      <c r="C133" s="7" t="n"/>
      <c r="D133" s="8">
        <f>IF(OR(B133="",C133=""),"",B133+C133)</f>
        <v/>
      </c>
      <c r="E133" s="5" t="n"/>
      <c r="F133" s="5" t="n"/>
      <c r="G133" s="5" t="n"/>
      <c r="H133" s="5" t="n"/>
      <c r="I133" s="5" t="n"/>
      <c r="J133" s="5" t="n"/>
      <c r="K133" s="5" t="n"/>
      <c r="L133" s="5" t="n"/>
      <c r="M133" s="3" t="n"/>
      <c r="N133" s="5">
        <f>IF(G133="Receipt",H133,IF(G133="Issue",-H133,0))</f>
        <v/>
      </c>
      <c r="O133" s="3">
        <f>IF(A133="","",IF(COUNTIF($A$2:$A$201,A133)&gt;1,"DUPLICATE ID",IF(OR(B133="",C133="",E133="",G133="",H133&lt;=0,L133="",K133=""),"CHECK REQUIRED",IF(AND(G133="Transfer",OR(I133="",J133="",I133=J133)),"CHECK TRANSFER","OK"))))</f>
        <v/>
      </c>
    </row>
    <row r="134">
      <c r="A134" s="5" t="n"/>
      <c r="B134" s="6" t="n"/>
      <c r="C134" s="7" t="n"/>
      <c r="D134" s="8">
        <f>IF(OR(B134="",C134=""),"",B134+C134)</f>
        <v/>
      </c>
      <c r="E134" s="5" t="n"/>
      <c r="F134" s="5" t="n"/>
      <c r="G134" s="5" t="n"/>
      <c r="H134" s="5" t="n"/>
      <c r="I134" s="5" t="n"/>
      <c r="J134" s="5" t="n"/>
      <c r="K134" s="5" t="n"/>
      <c r="L134" s="5" t="n"/>
      <c r="M134" s="3" t="n"/>
      <c r="N134" s="5">
        <f>IF(G134="Receipt",H134,IF(G134="Issue",-H134,0))</f>
        <v/>
      </c>
      <c r="O134" s="3">
        <f>IF(A134="","",IF(COUNTIF($A$2:$A$201,A134)&gt;1,"DUPLICATE ID",IF(OR(B134="",C134="",E134="",G134="",H134&lt;=0,L134="",K134=""),"CHECK REQUIRED",IF(AND(G134="Transfer",OR(I134="",J134="",I134=J134)),"CHECK TRANSFER","OK"))))</f>
        <v/>
      </c>
    </row>
    <row r="135">
      <c r="A135" s="5" t="n"/>
      <c r="B135" s="6" t="n"/>
      <c r="C135" s="7" t="n"/>
      <c r="D135" s="8">
        <f>IF(OR(B135="",C135=""),"",B135+C135)</f>
        <v/>
      </c>
      <c r="E135" s="5" t="n"/>
      <c r="F135" s="5" t="n"/>
      <c r="G135" s="5" t="n"/>
      <c r="H135" s="5" t="n"/>
      <c r="I135" s="5" t="n"/>
      <c r="J135" s="5" t="n"/>
      <c r="K135" s="5" t="n"/>
      <c r="L135" s="5" t="n"/>
      <c r="M135" s="3" t="n"/>
      <c r="N135" s="5">
        <f>IF(G135="Receipt",H135,IF(G135="Issue",-H135,0))</f>
        <v/>
      </c>
      <c r="O135" s="3">
        <f>IF(A135="","",IF(COUNTIF($A$2:$A$201,A135)&gt;1,"DUPLICATE ID",IF(OR(B135="",C135="",E135="",G135="",H135&lt;=0,L135="",K135=""),"CHECK REQUIRED",IF(AND(G135="Transfer",OR(I135="",J135="",I135=J135)),"CHECK TRANSFER","OK"))))</f>
        <v/>
      </c>
    </row>
    <row r="136">
      <c r="A136" s="5" t="n"/>
      <c r="B136" s="6" t="n"/>
      <c r="C136" s="7" t="n"/>
      <c r="D136" s="8">
        <f>IF(OR(B136="",C136=""),"",B136+C136)</f>
        <v/>
      </c>
      <c r="E136" s="5" t="n"/>
      <c r="F136" s="5" t="n"/>
      <c r="G136" s="5" t="n"/>
      <c r="H136" s="5" t="n"/>
      <c r="I136" s="5" t="n"/>
      <c r="J136" s="5" t="n"/>
      <c r="K136" s="5" t="n"/>
      <c r="L136" s="5" t="n"/>
      <c r="M136" s="3" t="n"/>
      <c r="N136" s="5">
        <f>IF(G136="Receipt",H136,IF(G136="Issue",-H136,0))</f>
        <v/>
      </c>
      <c r="O136" s="3">
        <f>IF(A136="","",IF(COUNTIF($A$2:$A$201,A136)&gt;1,"DUPLICATE ID",IF(OR(B136="",C136="",E136="",G136="",H136&lt;=0,L136="",K136=""),"CHECK REQUIRED",IF(AND(G136="Transfer",OR(I136="",J136="",I136=J136)),"CHECK TRANSFER","OK"))))</f>
        <v/>
      </c>
    </row>
    <row r="137">
      <c r="A137" s="5" t="n"/>
      <c r="B137" s="6" t="n"/>
      <c r="C137" s="7" t="n"/>
      <c r="D137" s="8">
        <f>IF(OR(B137="",C137=""),"",B137+C137)</f>
        <v/>
      </c>
      <c r="E137" s="5" t="n"/>
      <c r="F137" s="5" t="n"/>
      <c r="G137" s="5" t="n"/>
      <c r="H137" s="5" t="n"/>
      <c r="I137" s="5" t="n"/>
      <c r="J137" s="5" t="n"/>
      <c r="K137" s="5" t="n"/>
      <c r="L137" s="5" t="n"/>
      <c r="M137" s="3" t="n"/>
      <c r="N137" s="5">
        <f>IF(G137="Receipt",H137,IF(G137="Issue",-H137,0))</f>
        <v/>
      </c>
      <c r="O137" s="3">
        <f>IF(A137="","",IF(COUNTIF($A$2:$A$201,A137)&gt;1,"DUPLICATE ID",IF(OR(B137="",C137="",E137="",G137="",H137&lt;=0,L137="",K137=""),"CHECK REQUIRED",IF(AND(G137="Transfer",OR(I137="",J137="",I137=J137)),"CHECK TRANSFER","OK"))))</f>
        <v/>
      </c>
    </row>
    <row r="138">
      <c r="A138" s="5" t="n"/>
      <c r="B138" s="6" t="n"/>
      <c r="C138" s="7" t="n"/>
      <c r="D138" s="8">
        <f>IF(OR(B138="",C138=""),"",B138+C138)</f>
        <v/>
      </c>
      <c r="E138" s="5" t="n"/>
      <c r="F138" s="5" t="n"/>
      <c r="G138" s="5" t="n"/>
      <c r="H138" s="5" t="n"/>
      <c r="I138" s="5" t="n"/>
      <c r="J138" s="5" t="n"/>
      <c r="K138" s="5" t="n"/>
      <c r="L138" s="5" t="n"/>
      <c r="M138" s="3" t="n"/>
      <c r="N138" s="5">
        <f>IF(G138="Receipt",H138,IF(G138="Issue",-H138,0))</f>
        <v/>
      </c>
      <c r="O138" s="3">
        <f>IF(A138="","",IF(COUNTIF($A$2:$A$201,A138)&gt;1,"DUPLICATE ID",IF(OR(B138="",C138="",E138="",G138="",H138&lt;=0,L138="",K138=""),"CHECK REQUIRED",IF(AND(G138="Transfer",OR(I138="",J138="",I138=J138)),"CHECK TRANSFER","OK"))))</f>
        <v/>
      </c>
    </row>
    <row r="139">
      <c r="A139" s="5" t="n"/>
      <c r="B139" s="6" t="n"/>
      <c r="C139" s="7" t="n"/>
      <c r="D139" s="8">
        <f>IF(OR(B139="",C139=""),"",B139+C139)</f>
        <v/>
      </c>
      <c r="E139" s="5" t="n"/>
      <c r="F139" s="5" t="n"/>
      <c r="G139" s="5" t="n"/>
      <c r="H139" s="5" t="n"/>
      <c r="I139" s="5" t="n"/>
      <c r="J139" s="5" t="n"/>
      <c r="K139" s="5" t="n"/>
      <c r="L139" s="5" t="n"/>
      <c r="M139" s="3" t="n"/>
      <c r="N139" s="5">
        <f>IF(G139="Receipt",H139,IF(G139="Issue",-H139,0))</f>
        <v/>
      </c>
      <c r="O139" s="3">
        <f>IF(A139="","",IF(COUNTIF($A$2:$A$201,A139)&gt;1,"DUPLICATE ID",IF(OR(B139="",C139="",E139="",G139="",H139&lt;=0,L139="",K139=""),"CHECK REQUIRED",IF(AND(G139="Transfer",OR(I139="",J139="",I139=J139)),"CHECK TRANSFER","OK"))))</f>
        <v/>
      </c>
    </row>
    <row r="140">
      <c r="A140" s="5" t="n"/>
      <c r="B140" s="6" t="n"/>
      <c r="C140" s="7" t="n"/>
      <c r="D140" s="8">
        <f>IF(OR(B140="",C140=""),"",B140+C140)</f>
        <v/>
      </c>
      <c r="E140" s="5" t="n"/>
      <c r="F140" s="5" t="n"/>
      <c r="G140" s="5" t="n"/>
      <c r="H140" s="5" t="n"/>
      <c r="I140" s="5" t="n"/>
      <c r="J140" s="5" t="n"/>
      <c r="K140" s="5" t="n"/>
      <c r="L140" s="5" t="n"/>
      <c r="M140" s="3" t="n"/>
      <c r="N140" s="5">
        <f>IF(G140="Receipt",H140,IF(G140="Issue",-H140,0))</f>
        <v/>
      </c>
      <c r="O140" s="3">
        <f>IF(A140="","",IF(COUNTIF($A$2:$A$201,A140)&gt;1,"DUPLICATE ID",IF(OR(B140="",C140="",E140="",G140="",H140&lt;=0,L140="",K140=""),"CHECK REQUIRED",IF(AND(G140="Transfer",OR(I140="",J140="",I140=J140)),"CHECK TRANSFER","OK"))))</f>
        <v/>
      </c>
    </row>
    <row r="141">
      <c r="A141" s="5" t="n"/>
      <c r="B141" s="6" t="n"/>
      <c r="C141" s="7" t="n"/>
      <c r="D141" s="8">
        <f>IF(OR(B141="",C141=""),"",B141+C141)</f>
        <v/>
      </c>
      <c r="E141" s="5" t="n"/>
      <c r="F141" s="5" t="n"/>
      <c r="G141" s="5" t="n"/>
      <c r="H141" s="5" t="n"/>
      <c r="I141" s="5" t="n"/>
      <c r="J141" s="5" t="n"/>
      <c r="K141" s="5" t="n"/>
      <c r="L141" s="5" t="n"/>
      <c r="M141" s="3" t="n"/>
      <c r="N141" s="5">
        <f>IF(G141="Receipt",H141,IF(G141="Issue",-H141,0))</f>
        <v/>
      </c>
      <c r="O141" s="3">
        <f>IF(A141="","",IF(COUNTIF($A$2:$A$201,A141)&gt;1,"DUPLICATE ID",IF(OR(B141="",C141="",E141="",G141="",H141&lt;=0,L141="",K141=""),"CHECK REQUIRED",IF(AND(G141="Transfer",OR(I141="",J141="",I141=J141)),"CHECK TRANSFER","OK"))))</f>
        <v/>
      </c>
    </row>
    <row r="142">
      <c r="A142" s="5" t="n"/>
      <c r="B142" s="6" t="n"/>
      <c r="C142" s="7" t="n"/>
      <c r="D142" s="8">
        <f>IF(OR(B142="",C142=""),"",B142+C142)</f>
        <v/>
      </c>
      <c r="E142" s="5" t="n"/>
      <c r="F142" s="5" t="n"/>
      <c r="G142" s="5" t="n"/>
      <c r="H142" s="5" t="n"/>
      <c r="I142" s="5" t="n"/>
      <c r="J142" s="5" t="n"/>
      <c r="K142" s="5" t="n"/>
      <c r="L142" s="5" t="n"/>
      <c r="M142" s="3" t="n"/>
      <c r="N142" s="5">
        <f>IF(G142="Receipt",H142,IF(G142="Issue",-H142,0))</f>
        <v/>
      </c>
      <c r="O142" s="3">
        <f>IF(A142="","",IF(COUNTIF($A$2:$A$201,A142)&gt;1,"DUPLICATE ID",IF(OR(B142="",C142="",E142="",G142="",H142&lt;=0,L142="",K142=""),"CHECK REQUIRED",IF(AND(G142="Transfer",OR(I142="",J142="",I142=J142)),"CHECK TRANSFER","OK"))))</f>
        <v/>
      </c>
    </row>
    <row r="143">
      <c r="A143" s="5" t="n"/>
      <c r="B143" s="6" t="n"/>
      <c r="C143" s="7" t="n"/>
      <c r="D143" s="8">
        <f>IF(OR(B143="",C143=""),"",B143+C143)</f>
        <v/>
      </c>
      <c r="E143" s="5" t="n"/>
      <c r="F143" s="5" t="n"/>
      <c r="G143" s="5" t="n"/>
      <c r="H143" s="5" t="n"/>
      <c r="I143" s="5" t="n"/>
      <c r="J143" s="5" t="n"/>
      <c r="K143" s="5" t="n"/>
      <c r="L143" s="5" t="n"/>
      <c r="M143" s="3" t="n"/>
      <c r="N143" s="5">
        <f>IF(G143="Receipt",H143,IF(G143="Issue",-H143,0))</f>
        <v/>
      </c>
      <c r="O143" s="3">
        <f>IF(A143="","",IF(COUNTIF($A$2:$A$201,A143)&gt;1,"DUPLICATE ID",IF(OR(B143="",C143="",E143="",G143="",H143&lt;=0,L143="",K143=""),"CHECK REQUIRED",IF(AND(G143="Transfer",OR(I143="",J143="",I143=J143)),"CHECK TRANSFER","OK"))))</f>
        <v/>
      </c>
    </row>
    <row r="144">
      <c r="A144" s="5" t="n"/>
      <c r="B144" s="6" t="n"/>
      <c r="C144" s="7" t="n"/>
      <c r="D144" s="8">
        <f>IF(OR(B144="",C144=""),"",B144+C144)</f>
        <v/>
      </c>
      <c r="E144" s="5" t="n"/>
      <c r="F144" s="5" t="n"/>
      <c r="G144" s="5" t="n"/>
      <c r="H144" s="5" t="n"/>
      <c r="I144" s="5" t="n"/>
      <c r="J144" s="5" t="n"/>
      <c r="K144" s="5" t="n"/>
      <c r="L144" s="5" t="n"/>
      <c r="M144" s="3" t="n"/>
      <c r="N144" s="5">
        <f>IF(G144="Receipt",H144,IF(G144="Issue",-H144,0))</f>
        <v/>
      </c>
      <c r="O144" s="3">
        <f>IF(A144="","",IF(COUNTIF($A$2:$A$201,A144)&gt;1,"DUPLICATE ID",IF(OR(B144="",C144="",E144="",G144="",H144&lt;=0,L144="",K144=""),"CHECK REQUIRED",IF(AND(G144="Transfer",OR(I144="",J144="",I144=J144)),"CHECK TRANSFER","OK"))))</f>
        <v/>
      </c>
    </row>
    <row r="145">
      <c r="A145" s="5" t="n"/>
      <c r="B145" s="6" t="n"/>
      <c r="C145" s="7" t="n"/>
      <c r="D145" s="8">
        <f>IF(OR(B145="",C145=""),"",B145+C145)</f>
        <v/>
      </c>
      <c r="E145" s="5" t="n"/>
      <c r="F145" s="5" t="n"/>
      <c r="G145" s="5" t="n"/>
      <c r="H145" s="5" t="n"/>
      <c r="I145" s="5" t="n"/>
      <c r="J145" s="5" t="n"/>
      <c r="K145" s="5" t="n"/>
      <c r="L145" s="5" t="n"/>
      <c r="M145" s="3" t="n"/>
      <c r="N145" s="5">
        <f>IF(G145="Receipt",H145,IF(G145="Issue",-H145,0))</f>
        <v/>
      </c>
      <c r="O145" s="3">
        <f>IF(A145="","",IF(COUNTIF($A$2:$A$201,A145)&gt;1,"DUPLICATE ID",IF(OR(B145="",C145="",E145="",G145="",H145&lt;=0,L145="",K145=""),"CHECK REQUIRED",IF(AND(G145="Transfer",OR(I145="",J145="",I145=J145)),"CHECK TRANSFER","OK"))))</f>
        <v/>
      </c>
    </row>
    <row r="146">
      <c r="A146" s="5" t="n"/>
      <c r="B146" s="6" t="n"/>
      <c r="C146" s="7" t="n"/>
      <c r="D146" s="8">
        <f>IF(OR(B146="",C146=""),"",B146+C146)</f>
        <v/>
      </c>
      <c r="E146" s="5" t="n"/>
      <c r="F146" s="5" t="n"/>
      <c r="G146" s="5" t="n"/>
      <c r="H146" s="5" t="n"/>
      <c r="I146" s="5" t="n"/>
      <c r="J146" s="5" t="n"/>
      <c r="K146" s="5" t="n"/>
      <c r="L146" s="5" t="n"/>
      <c r="M146" s="3" t="n"/>
      <c r="N146" s="5">
        <f>IF(G146="Receipt",H146,IF(G146="Issue",-H146,0))</f>
        <v/>
      </c>
      <c r="O146" s="3">
        <f>IF(A146="","",IF(COUNTIF($A$2:$A$201,A146)&gt;1,"DUPLICATE ID",IF(OR(B146="",C146="",E146="",G146="",H146&lt;=0,L146="",K146=""),"CHECK REQUIRED",IF(AND(G146="Transfer",OR(I146="",J146="",I146=J146)),"CHECK TRANSFER","OK"))))</f>
        <v/>
      </c>
    </row>
    <row r="147">
      <c r="A147" s="5" t="n"/>
      <c r="B147" s="6" t="n"/>
      <c r="C147" s="7" t="n"/>
      <c r="D147" s="8">
        <f>IF(OR(B147="",C147=""),"",B147+C147)</f>
        <v/>
      </c>
      <c r="E147" s="5" t="n"/>
      <c r="F147" s="5" t="n"/>
      <c r="G147" s="5" t="n"/>
      <c r="H147" s="5" t="n"/>
      <c r="I147" s="5" t="n"/>
      <c r="J147" s="5" t="n"/>
      <c r="K147" s="5" t="n"/>
      <c r="L147" s="5" t="n"/>
      <c r="M147" s="3" t="n"/>
      <c r="N147" s="5">
        <f>IF(G147="Receipt",H147,IF(G147="Issue",-H147,0))</f>
        <v/>
      </c>
      <c r="O147" s="3">
        <f>IF(A147="","",IF(COUNTIF($A$2:$A$201,A147)&gt;1,"DUPLICATE ID",IF(OR(B147="",C147="",E147="",G147="",H147&lt;=0,L147="",K147=""),"CHECK REQUIRED",IF(AND(G147="Transfer",OR(I147="",J147="",I147=J147)),"CHECK TRANSFER","OK"))))</f>
        <v/>
      </c>
    </row>
    <row r="148">
      <c r="A148" s="5" t="n"/>
      <c r="B148" s="6" t="n"/>
      <c r="C148" s="7" t="n"/>
      <c r="D148" s="8">
        <f>IF(OR(B148="",C148=""),"",B148+C148)</f>
        <v/>
      </c>
      <c r="E148" s="5" t="n"/>
      <c r="F148" s="5" t="n"/>
      <c r="G148" s="5" t="n"/>
      <c r="H148" s="5" t="n"/>
      <c r="I148" s="5" t="n"/>
      <c r="J148" s="5" t="n"/>
      <c r="K148" s="5" t="n"/>
      <c r="L148" s="5" t="n"/>
      <c r="M148" s="3" t="n"/>
      <c r="N148" s="5">
        <f>IF(G148="Receipt",H148,IF(G148="Issue",-H148,0))</f>
        <v/>
      </c>
      <c r="O148" s="3">
        <f>IF(A148="","",IF(COUNTIF($A$2:$A$201,A148)&gt;1,"DUPLICATE ID",IF(OR(B148="",C148="",E148="",G148="",H148&lt;=0,L148="",K148=""),"CHECK REQUIRED",IF(AND(G148="Transfer",OR(I148="",J148="",I148=J148)),"CHECK TRANSFER","OK"))))</f>
        <v/>
      </c>
    </row>
    <row r="149">
      <c r="A149" s="5" t="n"/>
      <c r="B149" s="6" t="n"/>
      <c r="C149" s="7" t="n"/>
      <c r="D149" s="8">
        <f>IF(OR(B149="",C149=""),"",B149+C149)</f>
        <v/>
      </c>
      <c r="E149" s="5" t="n"/>
      <c r="F149" s="5" t="n"/>
      <c r="G149" s="5" t="n"/>
      <c r="H149" s="5" t="n"/>
      <c r="I149" s="5" t="n"/>
      <c r="J149" s="5" t="n"/>
      <c r="K149" s="5" t="n"/>
      <c r="L149" s="5" t="n"/>
      <c r="M149" s="3" t="n"/>
      <c r="N149" s="5">
        <f>IF(G149="Receipt",H149,IF(G149="Issue",-H149,0))</f>
        <v/>
      </c>
      <c r="O149" s="3">
        <f>IF(A149="","",IF(COUNTIF($A$2:$A$201,A149)&gt;1,"DUPLICATE ID",IF(OR(B149="",C149="",E149="",G149="",H149&lt;=0,L149="",K149=""),"CHECK REQUIRED",IF(AND(G149="Transfer",OR(I149="",J149="",I149=J149)),"CHECK TRANSFER","OK"))))</f>
        <v/>
      </c>
    </row>
    <row r="150">
      <c r="A150" s="5" t="n"/>
      <c r="B150" s="6" t="n"/>
      <c r="C150" s="7" t="n"/>
      <c r="D150" s="8">
        <f>IF(OR(B150="",C150=""),"",B150+C150)</f>
        <v/>
      </c>
      <c r="E150" s="5" t="n"/>
      <c r="F150" s="5" t="n"/>
      <c r="G150" s="5" t="n"/>
      <c r="H150" s="5" t="n"/>
      <c r="I150" s="5" t="n"/>
      <c r="J150" s="5" t="n"/>
      <c r="K150" s="5" t="n"/>
      <c r="L150" s="5" t="n"/>
      <c r="M150" s="3" t="n"/>
      <c r="N150" s="5">
        <f>IF(G150="Receipt",H150,IF(G150="Issue",-H150,0))</f>
        <v/>
      </c>
      <c r="O150" s="3">
        <f>IF(A150="","",IF(COUNTIF($A$2:$A$201,A150)&gt;1,"DUPLICATE ID",IF(OR(B150="",C150="",E150="",G150="",H150&lt;=0,L150="",K150=""),"CHECK REQUIRED",IF(AND(G150="Transfer",OR(I150="",J150="",I150=J150)),"CHECK TRANSFER","OK"))))</f>
        <v/>
      </c>
    </row>
    <row r="151">
      <c r="A151" s="5" t="n"/>
      <c r="B151" s="6" t="n"/>
      <c r="C151" s="7" t="n"/>
      <c r="D151" s="8">
        <f>IF(OR(B151="",C151=""),"",B151+C151)</f>
        <v/>
      </c>
      <c r="E151" s="5" t="n"/>
      <c r="F151" s="5" t="n"/>
      <c r="G151" s="5" t="n"/>
      <c r="H151" s="5" t="n"/>
      <c r="I151" s="5" t="n"/>
      <c r="J151" s="5" t="n"/>
      <c r="K151" s="5" t="n"/>
      <c r="L151" s="5" t="n"/>
      <c r="M151" s="3" t="n"/>
      <c r="N151" s="5">
        <f>IF(G151="Receipt",H151,IF(G151="Issue",-H151,0))</f>
        <v/>
      </c>
      <c r="O151" s="3">
        <f>IF(A151="","",IF(COUNTIF($A$2:$A$201,A151)&gt;1,"DUPLICATE ID",IF(OR(B151="",C151="",E151="",G151="",H151&lt;=0,L151="",K151=""),"CHECK REQUIRED",IF(AND(G151="Transfer",OR(I151="",J151="",I151=J151)),"CHECK TRANSFER","OK"))))</f>
        <v/>
      </c>
    </row>
    <row r="152">
      <c r="A152" s="5" t="n"/>
      <c r="B152" s="6" t="n"/>
      <c r="C152" s="7" t="n"/>
      <c r="D152" s="8">
        <f>IF(OR(B152="",C152=""),"",B152+C152)</f>
        <v/>
      </c>
      <c r="E152" s="5" t="n"/>
      <c r="F152" s="5" t="n"/>
      <c r="G152" s="5" t="n"/>
      <c r="H152" s="5" t="n"/>
      <c r="I152" s="5" t="n"/>
      <c r="J152" s="5" t="n"/>
      <c r="K152" s="5" t="n"/>
      <c r="L152" s="5" t="n"/>
      <c r="M152" s="3" t="n"/>
      <c r="N152" s="5">
        <f>IF(G152="Receipt",H152,IF(G152="Issue",-H152,0))</f>
        <v/>
      </c>
      <c r="O152" s="3">
        <f>IF(A152="","",IF(COUNTIF($A$2:$A$201,A152)&gt;1,"DUPLICATE ID",IF(OR(B152="",C152="",E152="",G152="",H152&lt;=0,L152="",K152=""),"CHECK REQUIRED",IF(AND(G152="Transfer",OR(I152="",J152="",I152=J152)),"CHECK TRANSFER","OK"))))</f>
        <v/>
      </c>
    </row>
    <row r="153">
      <c r="A153" s="5" t="n"/>
      <c r="B153" s="6" t="n"/>
      <c r="C153" s="7" t="n"/>
      <c r="D153" s="8">
        <f>IF(OR(B153="",C153=""),"",B153+C153)</f>
        <v/>
      </c>
      <c r="E153" s="5" t="n"/>
      <c r="F153" s="5" t="n"/>
      <c r="G153" s="5" t="n"/>
      <c r="H153" s="5" t="n"/>
      <c r="I153" s="5" t="n"/>
      <c r="J153" s="5" t="n"/>
      <c r="K153" s="5" t="n"/>
      <c r="L153" s="5" t="n"/>
      <c r="M153" s="3" t="n"/>
      <c r="N153" s="5">
        <f>IF(G153="Receipt",H153,IF(G153="Issue",-H153,0))</f>
        <v/>
      </c>
      <c r="O153" s="3">
        <f>IF(A153="","",IF(COUNTIF($A$2:$A$201,A153)&gt;1,"DUPLICATE ID",IF(OR(B153="",C153="",E153="",G153="",H153&lt;=0,L153="",K153=""),"CHECK REQUIRED",IF(AND(G153="Transfer",OR(I153="",J153="",I153=J153)),"CHECK TRANSFER","OK"))))</f>
        <v/>
      </c>
    </row>
    <row r="154">
      <c r="A154" s="5" t="n"/>
      <c r="B154" s="6" t="n"/>
      <c r="C154" s="7" t="n"/>
      <c r="D154" s="8">
        <f>IF(OR(B154="",C154=""),"",B154+C154)</f>
        <v/>
      </c>
      <c r="E154" s="5" t="n"/>
      <c r="F154" s="5" t="n"/>
      <c r="G154" s="5" t="n"/>
      <c r="H154" s="5" t="n"/>
      <c r="I154" s="5" t="n"/>
      <c r="J154" s="5" t="n"/>
      <c r="K154" s="5" t="n"/>
      <c r="L154" s="5" t="n"/>
      <c r="M154" s="3" t="n"/>
      <c r="N154" s="5">
        <f>IF(G154="Receipt",H154,IF(G154="Issue",-H154,0))</f>
        <v/>
      </c>
      <c r="O154" s="3">
        <f>IF(A154="","",IF(COUNTIF($A$2:$A$201,A154)&gt;1,"DUPLICATE ID",IF(OR(B154="",C154="",E154="",G154="",H154&lt;=0,L154="",K154=""),"CHECK REQUIRED",IF(AND(G154="Transfer",OR(I154="",J154="",I154=J154)),"CHECK TRANSFER","OK"))))</f>
        <v/>
      </c>
    </row>
    <row r="155">
      <c r="A155" s="5" t="n"/>
      <c r="B155" s="6" t="n"/>
      <c r="C155" s="7" t="n"/>
      <c r="D155" s="8">
        <f>IF(OR(B155="",C155=""),"",B155+C155)</f>
        <v/>
      </c>
      <c r="E155" s="5" t="n"/>
      <c r="F155" s="5" t="n"/>
      <c r="G155" s="5" t="n"/>
      <c r="H155" s="5" t="n"/>
      <c r="I155" s="5" t="n"/>
      <c r="J155" s="5" t="n"/>
      <c r="K155" s="5" t="n"/>
      <c r="L155" s="5" t="n"/>
      <c r="M155" s="3" t="n"/>
      <c r="N155" s="5">
        <f>IF(G155="Receipt",H155,IF(G155="Issue",-H155,0))</f>
        <v/>
      </c>
      <c r="O155" s="3">
        <f>IF(A155="","",IF(COUNTIF($A$2:$A$201,A155)&gt;1,"DUPLICATE ID",IF(OR(B155="",C155="",E155="",G155="",H155&lt;=0,L155="",K155=""),"CHECK REQUIRED",IF(AND(G155="Transfer",OR(I155="",J155="",I155=J155)),"CHECK TRANSFER","OK"))))</f>
        <v/>
      </c>
    </row>
    <row r="156">
      <c r="A156" s="5" t="n"/>
      <c r="B156" s="6" t="n"/>
      <c r="C156" s="7" t="n"/>
      <c r="D156" s="8">
        <f>IF(OR(B156="",C156=""),"",B156+C156)</f>
        <v/>
      </c>
      <c r="E156" s="5" t="n"/>
      <c r="F156" s="5" t="n"/>
      <c r="G156" s="5" t="n"/>
      <c r="H156" s="5" t="n"/>
      <c r="I156" s="5" t="n"/>
      <c r="J156" s="5" t="n"/>
      <c r="K156" s="5" t="n"/>
      <c r="L156" s="5" t="n"/>
      <c r="M156" s="3" t="n"/>
      <c r="N156" s="5">
        <f>IF(G156="Receipt",H156,IF(G156="Issue",-H156,0))</f>
        <v/>
      </c>
      <c r="O156" s="3">
        <f>IF(A156="","",IF(COUNTIF($A$2:$A$201,A156)&gt;1,"DUPLICATE ID",IF(OR(B156="",C156="",E156="",G156="",H156&lt;=0,L156="",K156=""),"CHECK REQUIRED",IF(AND(G156="Transfer",OR(I156="",J156="",I156=J156)),"CHECK TRANSFER","OK"))))</f>
        <v/>
      </c>
    </row>
    <row r="157">
      <c r="A157" s="5" t="n"/>
      <c r="B157" s="6" t="n"/>
      <c r="C157" s="7" t="n"/>
      <c r="D157" s="8">
        <f>IF(OR(B157="",C157=""),"",B157+C157)</f>
        <v/>
      </c>
      <c r="E157" s="5" t="n"/>
      <c r="F157" s="5" t="n"/>
      <c r="G157" s="5" t="n"/>
      <c r="H157" s="5" t="n"/>
      <c r="I157" s="5" t="n"/>
      <c r="J157" s="5" t="n"/>
      <c r="K157" s="5" t="n"/>
      <c r="L157" s="5" t="n"/>
      <c r="M157" s="3" t="n"/>
      <c r="N157" s="5">
        <f>IF(G157="Receipt",H157,IF(G157="Issue",-H157,0))</f>
        <v/>
      </c>
      <c r="O157" s="3">
        <f>IF(A157="","",IF(COUNTIF($A$2:$A$201,A157)&gt;1,"DUPLICATE ID",IF(OR(B157="",C157="",E157="",G157="",H157&lt;=0,L157="",K157=""),"CHECK REQUIRED",IF(AND(G157="Transfer",OR(I157="",J157="",I157=J157)),"CHECK TRANSFER","OK"))))</f>
        <v/>
      </c>
    </row>
    <row r="158">
      <c r="A158" s="5" t="n"/>
      <c r="B158" s="6" t="n"/>
      <c r="C158" s="7" t="n"/>
      <c r="D158" s="8">
        <f>IF(OR(B158="",C158=""),"",B158+C158)</f>
        <v/>
      </c>
      <c r="E158" s="5" t="n"/>
      <c r="F158" s="5" t="n"/>
      <c r="G158" s="5" t="n"/>
      <c r="H158" s="5" t="n"/>
      <c r="I158" s="5" t="n"/>
      <c r="J158" s="5" t="n"/>
      <c r="K158" s="5" t="n"/>
      <c r="L158" s="5" t="n"/>
      <c r="M158" s="3" t="n"/>
      <c r="N158" s="5">
        <f>IF(G158="Receipt",H158,IF(G158="Issue",-H158,0))</f>
        <v/>
      </c>
      <c r="O158" s="3">
        <f>IF(A158="","",IF(COUNTIF($A$2:$A$201,A158)&gt;1,"DUPLICATE ID",IF(OR(B158="",C158="",E158="",G158="",H158&lt;=0,L158="",K158=""),"CHECK REQUIRED",IF(AND(G158="Transfer",OR(I158="",J158="",I158=J158)),"CHECK TRANSFER","OK"))))</f>
        <v/>
      </c>
    </row>
    <row r="159">
      <c r="A159" s="5" t="n"/>
      <c r="B159" s="6" t="n"/>
      <c r="C159" s="7" t="n"/>
      <c r="D159" s="8">
        <f>IF(OR(B159="",C159=""),"",B159+C159)</f>
        <v/>
      </c>
      <c r="E159" s="5" t="n"/>
      <c r="F159" s="5" t="n"/>
      <c r="G159" s="5" t="n"/>
      <c r="H159" s="5" t="n"/>
      <c r="I159" s="5" t="n"/>
      <c r="J159" s="5" t="n"/>
      <c r="K159" s="5" t="n"/>
      <c r="L159" s="5" t="n"/>
      <c r="M159" s="3" t="n"/>
      <c r="N159" s="5">
        <f>IF(G159="Receipt",H159,IF(G159="Issue",-H159,0))</f>
        <v/>
      </c>
      <c r="O159" s="3">
        <f>IF(A159="","",IF(COUNTIF($A$2:$A$201,A159)&gt;1,"DUPLICATE ID",IF(OR(B159="",C159="",E159="",G159="",H159&lt;=0,L159="",K159=""),"CHECK REQUIRED",IF(AND(G159="Transfer",OR(I159="",J159="",I159=J159)),"CHECK TRANSFER","OK"))))</f>
        <v/>
      </c>
    </row>
    <row r="160">
      <c r="A160" s="5" t="n"/>
      <c r="B160" s="6" t="n"/>
      <c r="C160" s="7" t="n"/>
      <c r="D160" s="8">
        <f>IF(OR(B160="",C160=""),"",B160+C160)</f>
        <v/>
      </c>
      <c r="E160" s="5" t="n"/>
      <c r="F160" s="5" t="n"/>
      <c r="G160" s="5" t="n"/>
      <c r="H160" s="5" t="n"/>
      <c r="I160" s="5" t="n"/>
      <c r="J160" s="5" t="n"/>
      <c r="K160" s="5" t="n"/>
      <c r="L160" s="5" t="n"/>
      <c r="M160" s="3" t="n"/>
      <c r="N160" s="5">
        <f>IF(G160="Receipt",H160,IF(G160="Issue",-H160,0))</f>
        <v/>
      </c>
      <c r="O160" s="3">
        <f>IF(A160="","",IF(COUNTIF($A$2:$A$201,A160)&gt;1,"DUPLICATE ID",IF(OR(B160="",C160="",E160="",G160="",H160&lt;=0,L160="",K160=""),"CHECK REQUIRED",IF(AND(G160="Transfer",OR(I160="",J160="",I160=J160)),"CHECK TRANSFER","OK"))))</f>
        <v/>
      </c>
    </row>
    <row r="161">
      <c r="A161" s="5" t="n"/>
      <c r="B161" s="6" t="n"/>
      <c r="C161" s="7" t="n"/>
      <c r="D161" s="8">
        <f>IF(OR(B161="",C161=""),"",B161+C161)</f>
        <v/>
      </c>
      <c r="E161" s="5" t="n"/>
      <c r="F161" s="5" t="n"/>
      <c r="G161" s="5" t="n"/>
      <c r="H161" s="5" t="n"/>
      <c r="I161" s="5" t="n"/>
      <c r="J161" s="5" t="n"/>
      <c r="K161" s="5" t="n"/>
      <c r="L161" s="5" t="n"/>
      <c r="M161" s="3" t="n"/>
      <c r="N161" s="5">
        <f>IF(G161="Receipt",H161,IF(G161="Issue",-H161,0))</f>
        <v/>
      </c>
      <c r="O161" s="3">
        <f>IF(A161="","",IF(COUNTIF($A$2:$A$201,A161)&gt;1,"DUPLICATE ID",IF(OR(B161="",C161="",E161="",G161="",H161&lt;=0,L161="",K161=""),"CHECK REQUIRED",IF(AND(G161="Transfer",OR(I161="",J161="",I161=J161)),"CHECK TRANSFER","OK"))))</f>
        <v/>
      </c>
    </row>
    <row r="162">
      <c r="A162" s="5" t="n"/>
      <c r="B162" s="6" t="n"/>
      <c r="C162" s="7" t="n"/>
      <c r="D162" s="8">
        <f>IF(OR(B162="",C162=""),"",B162+C162)</f>
        <v/>
      </c>
      <c r="E162" s="5" t="n"/>
      <c r="F162" s="5" t="n"/>
      <c r="G162" s="5" t="n"/>
      <c r="H162" s="5" t="n"/>
      <c r="I162" s="5" t="n"/>
      <c r="J162" s="5" t="n"/>
      <c r="K162" s="5" t="n"/>
      <c r="L162" s="5" t="n"/>
      <c r="M162" s="3" t="n"/>
      <c r="N162" s="5">
        <f>IF(G162="Receipt",H162,IF(G162="Issue",-H162,0))</f>
        <v/>
      </c>
      <c r="O162" s="3">
        <f>IF(A162="","",IF(COUNTIF($A$2:$A$201,A162)&gt;1,"DUPLICATE ID",IF(OR(B162="",C162="",E162="",G162="",H162&lt;=0,L162="",K162=""),"CHECK REQUIRED",IF(AND(G162="Transfer",OR(I162="",J162="",I162=J162)),"CHECK TRANSFER","OK"))))</f>
        <v/>
      </c>
    </row>
    <row r="163">
      <c r="A163" s="5" t="n"/>
      <c r="B163" s="6" t="n"/>
      <c r="C163" s="7" t="n"/>
      <c r="D163" s="8">
        <f>IF(OR(B163="",C163=""),"",B163+C163)</f>
        <v/>
      </c>
      <c r="E163" s="5" t="n"/>
      <c r="F163" s="5" t="n"/>
      <c r="G163" s="5" t="n"/>
      <c r="H163" s="5" t="n"/>
      <c r="I163" s="5" t="n"/>
      <c r="J163" s="5" t="n"/>
      <c r="K163" s="5" t="n"/>
      <c r="L163" s="5" t="n"/>
      <c r="M163" s="3" t="n"/>
      <c r="N163" s="5">
        <f>IF(G163="Receipt",H163,IF(G163="Issue",-H163,0))</f>
        <v/>
      </c>
      <c r="O163" s="3">
        <f>IF(A163="","",IF(COUNTIF($A$2:$A$201,A163)&gt;1,"DUPLICATE ID",IF(OR(B163="",C163="",E163="",G163="",H163&lt;=0,L163="",K163=""),"CHECK REQUIRED",IF(AND(G163="Transfer",OR(I163="",J163="",I163=J163)),"CHECK TRANSFER","OK"))))</f>
        <v/>
      </c>
    </row>
    <row r="164">
      <c r="A164" s="5" t="n"/>
      <c r="B164" s="6" t="n"/>
      <c r="C164" s="7" t="n"/>
      <c r="D164" s="8">
        <f>IF(OR(B164="",C164=""),"",B164+C164)</f>
        <v/>
      </c>
      <c r="E164" s="5" t="n"/>
      <c r="F164" s="5" t="n"/>
      <c r="G164" s="5" t="n"/>
      <c r="H164" s="5" t="n"/>
      <c r="I164" s="5" t="n"/>
      <c r="J164" s="5" t="n"/>
      <c r="K164" s="5" t="n"/>
      <c r="L164" s="5" t="n"/>
      <c r="M164" s="3" t="n"/>
      <c r="N164" s="5">
        <f>IF(G164="Receipt",H164,IF(G164="Issue",-H164,0))</f>
        <v/>
      </c>
      <c r="O164" s="3">
        <f>IF(A164="","",IF(COUNTIF($A$2:$A$201,A164)&gt;1,"DUPLICATE ID",IF(OR(B164="",C164="",E164="",G164="",H164&lt;=0,L164="",K164=""),"CHECK REQUIRED",IF(AND(G164="Transfer",OR(I164="",J164="",I164=J164)),"CHECK TRANSFER","OK"))))</f>
        <v/>
      </c>
    </row>
    <row r="165">
      <c r="A165" s="5" t="n"/>
      <c r="B165" s="6" t="n"/>
      <c r="C165" s="7" t="n"/>
      <c r="D165" s="8">
        <f>IF(OR(B165="",C165=""),"",B165+C165)</f>
        <v/>
      </c>
      <c r="E165" s="5" t="n"/>
      <c r="F165" s="5" t="n"/>
      <c r="G165" s="5" t="n"/>
      <c r="H165" s="5" t="n"/>
      <c r="I165" s="5" t="n"/>
      <c r="J165" s="5" t="n"/>
      <c r="K165" s="5" t="n"/>
      <c r="L165" s="5" t="n"/>
      <c r="M165" s="3" t="n"/>
      <c r="N165" s="5">
        <f>IF(G165="Receipt",H165,IF(G165="Issue",-H165,0))</f>
        <v/>
      </c>
      <c r="O165" s="3">
        <f>IF(A165="","",IF(COUNTIF($A$2:$A$201,A165)&gt;1,"DUPLICATE ID",IF(OR(B165="",C165="",E165="",G165="",H165&lt;=0,L165="",K165=""),"CHECK REQUIRED",IF(AND(G165="Transfer",OR(I165="",J165="",I165=J165)),"CHECK TRANSFER","OK"))))</f>
        <v/>
      </c>
    </row>
    <row r="166">
      <c r="A166" s="5" t="n"/>
      <c r="B166" s="6" t="n"/>
      <c r="C166" s="7" t="n"/>
      <c r="D166" s="8">
        <f>IF(OR(B166="",C166=""),"",B166+C166)</f>
        <v/>
      </c>
      <c r="E166" s="5" t="n"/>
      <c r="F166" s="5" t="n"/>
      <c r="G166" s="5" t="n"/>
      <c r="H166" s="5" t="n"/>
      <c r="I166" s="5" t="n"/>
      <c r="J166" s="5" t="n"/>
      <c r="K166" s="5" t="n"/>
      <c r="L166" s="5" t="n"/>
      <c r="M166" s="3" t="n"/>
      <c r="N166" s="5">
        <f>IF(G166="Receipt",H166,IF(G166="Issue",-H166,0))</f>
        <v/>
      </c>
      <c r="O166" s="3">
        <f>IF(A166="","",IF(COUNTIF($A$2:$A$201,A166)&gt;1,"DUPLICATE ID",IF(OR(B166="",C166="",E166="",G166="",H166&lt;=0,L166="",K166=""),"CHECK REQUIRED",IF(AND(G166="Transfer",OR(I166="",J166="",I166=J166)),"CHECK TRANSFER","OK"))))</f>
        <v/>
      </c>
    </row>
    <row r="167">
      <c r="A167" s="5" t="n"/>
      <c r="B167" s="6" t="n"/>
      <c r="C167" s="7" t="n"/>
      <c r="D167" s="8">
        <f>IF(OR(B167="",C167=""),"",B167+C167)</f>
        <v/>
      </c>
      <c r="E167" s="5" t="n"/>
      <c r="F167" s="5" t="n"/>
      <c r="G167" s="5" t="n"/>
      <c r="H167" s="5" t="n"/>
      <c r="I167" s="5" t="n"/>
      <c r="J167" s="5" t="n"/>
      <c r="K167" s="5" t="n"/>
      <c r="L167" s="5" t="n"/>
      <c r="M167" s="3" t="n"/>
      <c r="N167" s="5">
        <f>IF(G167="Receipt",H167,IF(G167="Issue",-H167,0))</f>
        <v/>
      </c>
      <c r="O167" s="3">
        <f>IF(A167="","",IF(COUNTIF($A$2:$A$201,A167)&gt;1,"DUPLICATE ID",IF(OR(B167="",C167="",E167="",G167="",H167&lt;=0,L167="",K167=""),"CHECK REQUIRED",IF(AND(G167="Transfer",OR(I167="",J167="",I167=J167)),"CHECK TRANSFER","OK"))))</f>
        <v/>
      </c>
    </row>
    <row r="168">
      <c r="A168" s="5" t="n"/>
      <c r="B168" s="6" t="n"/>
      <c r="C168" s="7" t="n"/>
      <c r="D168" s="8">
        <f>IF(OR(B168="",C168=""),"",B168+C168)</f>
        <v/>
      </c>
      <c r="E168" s="5" t="n"/>
      <c r="F168" s="5" t="n"/>
      <c r="G168" s="5" t="n"/>
      <c r="H168" s="5" t="n"/>
      <c r="I168" s="5" t="n"/>
      <c r="J168" s="5" t="n"/>
      <c r="K168" s="5" t="n"/>
      <c r="L168" s="5" t="n"/>
      <c r="M168" s="3" t="n"/>
      <c r="N168" s="5">
        <f>IF(G168="Receipt",H168,IF(G168="Issue",-H168,0))</f>
        <v/>
      </c>
      <c r="O168" s="3">
        <f>IF(A168="","",IF(COUNTIF($A$2:$A$201,A168)&gt;1,"DUPLICATE ID",IF(OR(B168="",C168="",E168="",G168="",H168&lt;=0,L168="",K168=""),"CHECK REQUIRED",IF(AND(G168="Transfer",OR(I168="",J168="",I168=J168)),"CHECK TRANSFER","OK"))))</f>
        <v/>
      </c>
    </row>
    <row r="169">
      <c r="A169" s="5" t="n"/>
      <c r="B169" s="6" t="n"/>
      <c r="C169" s="7" t="n"/>
      <c r="D169" s="8">
        <f>IF(OR(B169="",C169=""),"",B169+C169)</f>
        <v/>
      </c>
      <c r="E169" s="5" t="n"/>
      <c r="F169" s="5" t="n"/>
      <c r="G169" s="5" t="n"/>
      <c r="H169" s="5" t="n"/>
      <c r="I169" s="5" t="n"/>
      <c r="J169" s="5" t="n"/>
      <c r="K169" s="5" t="n"/>
      <c r="L169" s="5" t="n"/>
      <c r="M169" s="3" t="n"/>
      <c r="N169" s="5">
        <f>IF(G169="Receipt",H169,IF(G169="Issue",-H169,0))</f>
        <v/>
      </c>
      <c r="O169" s="3">
        <f>IF(A169="","",IF(COUNTIF($A$2:$A$201,A169)&gt;1,"DUPLICATE ID",IF(OR(B169="",C169="",E169="",G169="",H169&lt;=0,L169="",K169=""),"CHECK REQUIRED",IF(AND(G169="Transfer",OR(I169="",J169="",I169=J169)),"CHECK TRANSFER","OK"))))</f>
        <v/>
      </c>
    </row>
    <row r="170">
      <c r="A170" s="5" t="n"/>
      <c r="B170" s="6" t="n"/>
      <c r="C170" s="7" t="n"/>
      <c r="D170" s="8">
        <f>IF(OR(B170="",C170=""),"",B170+C170)</f>
        <v/>
      </c>
      <c r="E170" s="5" t="n"/>
      <c r="F170" s="5" t="n"/>
      <c r="G170" s="5" t="n"/>
      <c r="H170" s="5" t="n"/>
      <c r="I170" s="5" t="n"/>
      <c r="J170" s="5" t="n"/>
      <c r="K170" s="5" t="n"/>
      <c r="L170" s="5" t="n"/>
      <c r="M170" s="3" t="n"/>
      <c r="N170" s="5">
        <f>IF(G170="Receipt",H170,IF(G170="Issue",-H170,0))</f>
        <v/>
      </c>
      <c r="O170" s="3">
        <f>IF(A170="","",IF(COUNTIF($A$2:$A$201,A170)&gt;1,"DUPLICATE ID",IF(OR(B170="",C170="",E170="",G170="",H170&lt;=0,L170="",K170=""),"CHECK REQUIRED",IF(AND(G170="Transfer",OR(I170="",J170="",I170=J170)),"CHECK TRANSFER","OK"))))</f>
        <v/>
      </c>
    </row>
    <row r="171">
      <c r="A171" s="5" t="n"/>
      <c r="B171" s="6" t="n"/>
      <c r="C171" s="7" t="n"/>
      <c r="D171" s="8">
        <f>IF(OR(B171="",C171=""),"",B171+C171)</f>
        <v/>
      </c>
      <c r="E171" s="5" t="n"/>
      <c r="F171" s="5" t="n"/>
      <c r="G171" s="5" t="n"/>
      <c r="H171" s="5" t="n"/>
      <c r="I171" s="5" t="n"/>
      <c r="J171" s="5" t="n"/>
      <c r="K171" s="5" t="n"/>
      <c r="L171" s="5" t="n"/>
      <c r="M171" s="3" t="n"/>
      <c r="N171" s="5">
        <f>IF(G171="Receipt",H171,IF(G171="Issue",-H171,0))</f>
        <v/>
      </c>
      <c r="O171" s="3">
        <f>IF(A171="","",IF(COUNTIF($A$2:$A$201,A171)&gt;1,"DUPLICATE ID",IF(OR(B171="",C171="",E171="",G171="",H171&lt;=0,L171="",K171=""),"CHECK REQUIRED",IF(AND(G171="Transfer",OR(I171="",J171="",I171=J171)),"CHECK TRANSFER","OK"))))</f>
        <v/>
      </c>
    </row>
    <row r="172">
      <c r="A172" s="5" t="n"/>
      <c r="B172" s="6" t="n"/>
      <c r="C172" s="7" t="n"/>
      <c r="D172" s="8">
        <f>IF(OR(B172="",C172=""),"",B172+C172)</f>
        <v/>
      </c>
      <c r="E172" s="5" t="n"/>
      <c r="F172" s="5" t="n"/>
      <c r="G172" s="5" t="n"/>
      <c r="H172" s="5" t="n"/>
      <c r="I172" s="5" t="n"/>
      <c r="J172" s="5" t="n"/>
      <c r="K172" s="5" t="n"/>
      <c r="L172" s="5" t="n"/>
      <c r="M172" s="3" t="n"/>
      <c r="N172" s="5">
        <f>IF(G172="Receipt",H172,IF(G172="Issue",-H172,0))</f>
        <v/>
      </c>
      <c r="O172" s="3">
        <f>IF(A172="","",IF(COUNTIF($A$2:$A$201,A172)&gt;1,"DUPLICATE ID",IF(OR(B172="",C172="",E172="",G172="",H172&lt;=0,L172="",K172=""),"CHECK REQUIRED",IF(AND(G172="Transfer",OR(I172="",J172="",I172=J172)),"CHECK TRANSFER","OK"))))</f>
        <v/>
      </c>
    </row>
    <row r="173">
      <c r="A173" s="5" t="n"/>
      <c r="B173" s="6" t="n"/>
      <c r="C173" s="7" t="n"/>
      <c r="D173" s="8">
        <f>IF(OR(B173="",C173=""),"",B173+C173)</f>
        <v/>
      </c>
      <c r="E173" s="5" t="n"/>
      <c r="F173" s="5" t="n"/>
      <c r="G173" s="5" t="n"/>
      <c r="H173" s="5" t="n"/>
      <c r="I173" s="5" t="n"/>
      <c r="J173" s="5" t="n"/>
      <c r="K173" s="5" t="n"/>
      <c r="L173" s="5" t="n"/>
      <c r="M173" s="3" t="n"/>
      <c r="N173" s="5">
        <f>IF(G173="Receipt",H173,IF(G173="Issue",-H173,0))</f>
        <v/>
      </c>
      <c r="O173" s="3">
        <f>IF(A173="","",IF(COUNTIF($A$2:$A$201,A173)&gt;1,"DUPLICATE ID",IF(OR(B173="",C173="",E173="",G173="",H173&lt;=0,L173="",K173=""),"CHECK REQUIRED",IF(AND(G173="Transfer",OR(I173="",J173="",I173=J173)),"CHECK TRANSFER","OK"))))</f>
        <v/>
      </c>
    </row>
    <row r="174">
      <c r="A174" s="5" t="n"/>
      <c r="B174" s="6" t="n"/>
      <c r="C174" s="7" t="n"/>
      <c r="D174" s="8">
        <f>IF(OR(B174="",C174=""),"",B174+C174)</f>
        <v/>
      </c>
      <c r="E174" s="5" t="n"/>
      <c r="F174" s="5" t="n"/>
      <c r="G174" s="5" t="n"/>
      <c r="H174" s="5" t="n"/>
      <c r="I174" s="5" t="n"/>
      <c r="J174" s="5" t="n"/>
      <c r="K174" s="5" t="n"/>
      <c r="L174" s="5" t="n"/>
      <c r="M174" s="3" t="n"/>
      <c r="N174" s="5">
        <f>IF(G174="Receipt",H174,IF(G174="Issue",-H174,0))</f>
        <v/>
      </c>
      <c r="O174" s="3">
        <f>IF(A174="","",IF(COUNTIF($A$2:$A$201,A174)&gt;1,"DUPLICATE ID",IF(OR(B174="",C174="",E174="",G174="",H174&lt;=0,L174="",K174=""),"CHECK REQUIRED",IF(AND(G174="Transfer",OR(I174="",J174="",I174=J174)),"CHECK TRANSFER","OK"))))</f>
        <v/>
      </c>
    </row>
    <row r="175">
      <c r="A175" s="5" t="n"/>
      <c r="B175" s="6" t="n"/>
      <c r="C175" s="7" t="n"/>
      <c r="D175" s="8">
        <f>IF(OR(B175="",C175=""),"",B175+C175)</f>
        <v/>
      </c>
      <c r="E175" s="5" t="n"/>
      <c r="F175" s="5" t="n"/>
      <c r="G175" s="5" t="n"/>
      <c r="H175" s="5" t="n"/>
      <c r="I175" s="5" t="n"/>
      <c r="J175" s="5" t="n"/>
      <c r="K175" s="5" t="n"/>
      <c r="L175" s="5" t="n"/>
      <c r="M175" s="3" t="n"/>
      <c r="N175" s="5">
        <f>IF(G175="Receipt",H175,IF(G175="Issue",-H175,0))</f>
        <v/>
      </c>
      <c r="O175" s="3">
        <f>IF(A175="","",IF(COUNTIF($A$2:$A$201,A175)&gt;1,"DUPLICATE ID",IF(OR(B175="",C175="",E175="",G175="",H175&lt;=0,L175="",K175=""),"CHECK REQUIRED",IF(AND(G175="Transfer",OR(I175="",J175="",I175=J175)),"CHECK TRANSFER","OK"))))</f>
        <v/>
      </c>
    </row>
    <row r="176">
      <c r="A176" s="5" t="n"/>
      <c r="B176" s="6" t="n"/>
      <c r="C176" s="7" t="n"/>
      <c r="D176" s="8">
        <f>IF(OR(B176="",C176=""),"",B176+C176)</f>
        <v/>
      </c>
      <c r="E176" s="5" t="n"/>
      <c r="F176" s="5" t="n"/>
      <c r="G176" s="5" t="n"/>
      <c r="H176" s="5" t="n"/>
      <c r="I176" s="5" t="n"/>
      <c r="J176" s="5" t="n"/>
      <c r="K176" s="5" t="n"/>
      <c r="L176" s="5" t="n"/>
      <c r="M176" s="3" t="n"/>
      <c r="N176" s="5">
        <f>IF(G176="Receipt",H176,IF(G176="Issue",-H176,0))</f>
        <v/>
      </c>
      <c r="O176" s="3">
        <f>IF(A176="","",IF(COUNTIF($A$2:$A$201,A176)&gt;1,"DUPLICATE ID",IF(OR(B176="",C176="",E176="",G176="",H176&lt;=0,L176="",K176=""),"CHECK REQUIRED",IF(AND(G176="Transfer",OR(I176="",J176="",I176=J176)),"CHECK TRANSFER","OK"))))</f>
        <v/>
      </c>
    </row>
    <row r="177">
      <c r="A177" s="5" t="n"/>
      <c r="B177" s="6" t="n"/>
      <c r="C177" s="7" t="n"/>
      <c r="D177" s="8">
        <f>IF(OR(B177="",C177=""),"",B177+C177)</f>
        <v/>
      </c>
      <c r="E177" s="5" t="n"/>
      <c r="F177" s="5" t="n"/>
      <c r="G177" s="5" t="n"/>
      <c r="H177" s="5" t="n"/>
      <c r="I177" s="5" t="n"/>
      <c r="J177" s="5" t="n"/>
      <c r="K177" s="5" t="n"/>
      <c r="L177" s="5" t="n"/>
      <c r="M177" s="3" t="n"/>
      <c r="N177" s="5">
        <f>IF(G177="Receipt",H177,IF(G177="Issue",-H177,0))</f>
        <v/>
      </c>
      <c r="O177" s="3">
        <f>IF(A177="","",IF(COUNTIF($A$2:$A$201,A177)&gt;1,"DUPLICATE ID",IF(OR(B177="",C177="",E177="",G177="",H177&lt;=0,L177="",K177=""),"CHECK REQUIRED",IF(AND(G177="Transfer",OR(I177="",J177="",I177=J177)),"CHECK TRANSFER","OK"))))</f>
        <v/>
      </c>
    </row>
    <row r="178">
      <c r="A178" s="5" t="n"/>
      <c r="B178" s="6" t="n"/>
      <c r="C178" s="7" t="n"/>
      <c r="D178" s="8">
        <f>IF(OR(B178="",C178=""),"",B178+C178)</f>
        <v/>
      </c>
      <c r="E178" s="5" t="n"/>
      <c r="F178" s="5" t="n"/>
      <c r="G178" s="5" t="n"/>
      <c r="H178" s="5" t="n"/>
      <c r="I178" s="5" t="n"/>
      <c r="J178" s="5" t="n"/>
      <c r="K178" s="5" t="n"/>
      <c r="L178" s="5" t="n"/>
      <c r="M178" s="3" t="n"/>
      <c r="N178" s="5">
        <f>IF(G178="Receipt",H178,IF(G178="Issue",-H178,0))</f>
        <v/>
      </c>
      <c r="O178" s="3">
        <f>IF(A178="","",IF(COUNTIF($A$2:$A$201,A178)&gt;1,"DUPLICATE ID",IF(OR(B178="",C178="",E178="",G178="",H178&lt;=0,L178="",K178=""),"CHECK REQUIRED",IF(AND(G178="Transfer",OR(I178="",J178="",I178=J178)),"CHECK TRANSFER","OK"))))</f>
        <v/>
      </c>
    </row>
    <row r="179">
      <c r="A179" s="5" t="n"/>
      <c r="B179" s="6" t="n"/>
      <c r="C179" s="7" t="n"/>
      <c r="D179" s="8">
        <f>IF(OR(B179="",C179=""),"",B179+C179)</f>
        <v/>
      </c>
      <c r="E179" s="5" t="n"/>
      <c r="F179" s="5" t="n"/>
      <c r="G179" s="5" t="n"/>
      <c r="H179" s="5" t="n"/>
      <c r="I179" s="5" t="n"/>
      <c r="J179" s="5" t="n"/>
      <c r="K179" s="5" t="n"/>
      <c r="L179" s="5" t="n"/>
      <c r="M179" s="3" t="n"/>
      <c r="N179" s="5">
        <f>IF(G179="Receipt",H179,IF(G179="Issue",-H179,0))</f>
        <v/>
      </c>
      <c r="O179" s="3">
        <f>IF(A179="","",IF(COUNTIF($A$2:$A$201,A179)&gt;1,"DUPLICATE ID",IF(OR(B179="",C179="",E179="",G179="",H179&lt;=0,L179="",K179=""),"CHECK REQUIRED",IF(AND(G179="Transfer",OR(I179="",J179="",I179=J179)),"CHECK TRANSFER","OK"))))</f>
        <v/>
      </c>
    </row>
    <row r="180">
      <c r="A180" s="5" t="n"/>
      <c r="B180" s="6" t="n"/>
      <c r="C180" s="7" t="n"/>
      <c r="D180" s="8">
        <f>IF(OR(B180="",C180=""),"",B180+C180)</f>
        <v/>
      </c>
      <c r="E180" s="5" t="n"/>
      <c r="F180" s="5" t="n"/>
      <c r="G180" s="5" t="n"/>
      <c r="H180" s="5" t="n"/>
      <c r="I180" s="5" t="n"/>
      <c r="J180" s="5" t="n"/>
      <c r="K180" s="5" t="n"/>
      <c r="L180" s="5" t="n"/>
      <c r="M180" s="3" t="n"/>
      <c r="N180" s="5">
        <f>IF(G180="Receipt",H180,IF(G180="Issue",-H180,0))</f>
        <v/>
      </c>
      <c r="O180" s="3">
        <f>IF(A180="","",IF(COUNTIF($A$2:$A$201,A180)&gt;1,"DUPLICATE ID",IF(OR(B180="",C180="",E180="",G180="",H180&lt;=0,L180="",K180=""),"CHECK REQUIRED",IF(AND(G180="Transfer",OR(I180="",J180="",I180=J180)),"CHECK TRANSFER","OK"))))</f>
        <v/>
      </c>
    </row>
    <row r="181">
      <c r="A181" s="5" t="n"/>
      <c r="B181" s="6" t="n"/>
      <c r="C181" s="7" t="n"/>
      <c r="D181" s="8">
        <f>IF(OR(B181="",C181=""),"",B181+C181)</f>
        <v/>
      </c>
      <c r="E181" s="5" t="n"/>
      <c r="F181" s="5" t="n"/>
      <c r="G181" s="5" t="n"/>
      <c r="H181" s="5" t="n"/>
      <c r="I181" s="5" t="n"/>
      <c r="J181" s="5" t="n"/>
      <c r="K181" s="5" t="n"/>
      <c r="L181" s="5" t="n"/>
      <c r="M181" s="3" t="n"/>
      <c r="N181" s="5">
        <f>IF(G181="Receipt",H181,IF(G181="Issue",-H181,0))</f>
        <v/>
      </c>
      <c r="O181" s="3">
        <f>IF(A181="","",IF(COUNTIF($A$2:$A$201,A181)&gt;1,"DUPLICATE ID",IF(OR(B181="",C181="",E181="",G181="",H181&lt;=0,L181="",K181=""),"CHECK REQUIRED",IF(AND(G181="Transfer",OR(I181="",J181="",I181=J181)),"CHECK TRANSFER","OK"))))</f>
        <v/>
      </c>
    </row>
    <row r="182">
      <c r="A182" s="5" t="n"/>
      <c r="B182" s="6" t="n"/>
      <c r="C182" s="7" t="n"/>
      <c r="D182" s="8">
        <f>IF(OR(B182="",C182=""),"",B182+C182)</f>
        <v/>
      </c>
      <c r="E182" s="5" t="n"/>
      <c r="F182" s="5" t="n"/>
      <c r="G182" s="5" t="n"/>
      <c r="H182" s="5" t="n"/>
      <c r="I182" s="5" t="n"/>
      <c r="J182" s="5" t="n"/>
      <c r="K182" s="5" t="n"/>
      <c r="L182" s="5" t="n"/>
      <c r="M182" s="3" t="n"/>
      <c r="N182" s="5">
        <f>IF(G182="Receipt",H182,IF(G182="Issue",-H182,0))</f>
        <v/>
      </c>
      <c r="O182" s="3">
        <f>IF(A182="","",IF(COUNTIF($A$2:$A$201,A182)&gt;1,"DUPLICATE ID",IF(OR(B182="",C182="",E182="",G182="",H182&lt;=0,L182="",K182=""),"CHECK REQUIRED",IF(AND(G182="Transfer",OR(I182="",J182="",I182=J182)),"CHECK TRANSFER","OK"))))</f>
        <v/>
      </c>
    </row>
    <row r="183">
      <c r="A183" s="5" t="n"/>
      <c r="B183" s="6" t="n"/>
      <c r="C183" s="7" t="n"/>
      <c r="D183" s="8">
        <f>IF(OR(B183="",C183=""),"",B183+C183)</f>
        <v/>
      </c>
      <c r="E183" s="5" t="n"/>
      <c r="F183" s="5" t="n"/>
      <c r="G183" s="5" t="n"/>
      <c r="H183" s="5" t="n"/>
      <c r="I183" s="5" t="n"/>
      <c r="J183" s="5" t="n"/>
      <c r="K183" s="5" t="n"/>
      <c r="L183" s="5" t="n"/>
      <c r="M183" s="3" t="n"/>
      <c r="N183" s="5">
        <f>IF(G183="Receipt",H183,IF(G183="Issue",-H183,0))</f>
        <v/>
      </c>
      <c r="O183" s="3">
        <f>IF(A183="","",IF(COUNTIF($A$2:$A$201,A183)&gt;1,"DUPLICATE ID",IF(OR(B183="",C183="",E183="",G183="",H183&lt;=0,L183="",K183=""),"CHECK REQUIRED",IF(AND(G183="Transfer",OR(I183="",J183="",I183=J183)),"CHECK TRANSFER","OK"))))</f>
        <v/>
      </c>
    </row>
    <row r="184">
      <c r="A184" s="5" t="n"/>
      <c r="B184" s="6" t="n"/>
      <c r="C184" s="7" t="n"/>
      <c r="D184" s="8">
        <f>IF(OR(B184="",C184=""),"",B184+C184)</f>
        <v/>
      </c>
      <c r="E184" s="5" t="n"/>
      <c r="F184" s="5" t="n"/>
      <c r="G184" s="5" t="n"/>
      <c r="H184" s="5" t="n"/>
      <c r="I184" s="5" t="n"/>
      <c r="J184" s="5" t="n"/>
      <c r="K184" s="5" t="n"/>
      <c r="L184" s="5" t="n"/>
      <c r="M184" s="3" t="n"/>
      <c r="N184" s="5">
        <f>IF(G184="Receipt",H184,IF(G184="Issue",-H184,0))</f>
        <v/>
      </c>
      <c r="O184" s="3">
        <f>IF(A184="","",IF(COUNTIF($A$2:$A$201,A184)&gt;1,"DUPLICATE ID",IF(OR(B184="",C184="",E184="",G184="",H184&lt;=0,L184="",K184=""),"CHECK REQUIRED",IF(AND(G184="Transfer",OR(I184="",J184="",I184=J184)),"CHECK TRANSFER","OK"))))</f>
        <v/>
      </c>
    </row>
    <row r="185">
      <c r="A185" s="5" t="n"/>
      <c r="B185" s="6" t="n"/>
      <c r="C185" s="7" t="n"/>
      <c r="D185" s="8">
        <f>IF(OR(B185="",C185=""),"",B185+C185)</f>
        <v/>
      </c>
      <c r="E185" s="5" t="n"/>
      <c r="F185" s="5" t="n"/>
      <c r="G185" s="5" t="n"/>
      <c r="H185" s="5" t="n"/>
      <c r="I185" s="5" t="n"/>
      <c r="J185" s="5" t="n"/>
      <c r="K185" s="5" t="n"/>
      <c r="L185" s="5" t="n"/>
      <c r="M185" s="3" t="n"/>
      <c r="N185" s="5">
        <f>IF(G185="Receipt",H185,IF(G185="Issue",-H185,0))</f>
        <v/>
      </c>
      <c r="O185" s="3">
        <f>IF(A185="","",IF(COUNTIF($A$2:$A$201,A185)&gt;1,"DUPLICATE ID",IF(OR(B185="",C185="",E185="",G185="",H185&lt;=0,L185="",K185=""),"CHECK REQUIRED",IF(AND(G185="Transfer",OR(I185="",J185="",I185=J185)),"CHECK TRANSFER","OK"))))</f>
        <v/>
      </c>
    </row>
    <row r="186">
      <c r="A186" s="5" t="n"/>
      <c r="B186" s="6" t="n"/>
      <c r="C186" s="7" t="n"/>
      <c r="D186" s="8">
        <f>IF(OR(B186="",C186=""),"",B186+C186)</f>
        <v/>
      </c>
      <c r="E186" s="5" t="n"/>
      <c r="F186" s="5" t="n"/>
      <c r="G186" s="5" t="n"/>
      <c r="H186" s="5" t="n"/>
      <c r="I186" s="5" t="n"/>
      <c r="J186" s="5" t="n"/>
      <c r="K186" s="5" t="n"/>
      <c r="L186" s="5" t="n"/>
      <c r="M186" s="3" t="n"/>
      <c r="N186" s="5">
        <f>IF(G186="Receipt",H186,IF(G186="Issue",-H186,0))</f>
        <v/>
      </c>
      <c r="O186" s="3">
        <f>IF(A186="","",IF(COUNTIF($A$2:$A$201,A186)&gt;1,"DUPLICATE ID",IF(OR(B186="",C186="",E186="",G186="",H186&lt;=0,L186="",K186=""),"CHECK REQUIRED",IF(AND(G186="Transfer",OR(I186="",J186="",I186=J186)),"CHECK TRANSFER","OK"))))</f>
        <v/>
      </c>
    </row>
    <row r="187">
      <c r="A187" s="5" t="n"/>
      <c r="B187" s="6" t="n"/>
      <c r="C187" s="7" t="n"/>
      <c r="D187" s="8">
        <f>IF(OR(B187="",C187=""),"",B187+C187)</f>
        <v/>
      </c>
      <c r="E187" s="5" t="n"/>
      <c r="F187" s="5" t="n"/>
      <c r="G187" s="5" t="n"/>
      <c r="H187" s="5" t="n"/>
      <c r="I187" s="5" t="n"/>
      <c r="J187" s="5" t="n"/>
      <c r="K187" s="5" t="n"/>
      <c r="L187" s="5" t="n"/>
      <c r="M187" s="3" t="n"/>
      <c r="N187" s="5">
        <f>IF(G187="Receipt",H187,IF(G187="Issue",-H187,0))</f>
        <v/>
      </c>
      <c r="O187" s="3">
        <f>IF(A187="","",IF(COUNTIF($A$2:$A$201,A187)&gt;1,"DUPLICATE ID",IF(OR(B187="",C187="",E187="",G187="",H187&lt;=0,L187="",K187=""),"CHECK REQUIRED",IF(AND(G187="Transfer",OR(I187="",J187="",I187=J187)),"CHECK TRANSFER","OK"))))</f>
        <v/>
      </c>
    </row>
    <row r="188">
      <c r="A188" s="5" t="n"/>
      <c r="B188" s="6" t="n"/>
      <c r="C188" s="7" t="n"/>
      <c r="D188" s="8">
        <f>IF(OR(B188="",C188=""),"",B188+C188)</f>
        <v/>
      </c>
      <c r="E188" s="5" t="n"/>
      <c r="F188" s="5" t="n"/>
      <c r="G188" s="5" t="n"/>
      <c r="H188" s="5" t="n"/>
      <c r="I188" s="5" t="n"/>
      <c r="J188" s="5" t="n"/>
      <c r="K188" s="5" t="n"/>
      <c r="L188" s="5" t="n"/>
      <c r="M188" s="3" t="n"/>
      <c r="N188" s="5">
        <f>IF(G188="Receipt",H188,IF(G188="Issue",-H188,0))</f>
        <v/>
      </c>
      <c r="O188" s="3">
        <f>IF(A188="","",IF(COUNTIF($A$2:$A$201,A188)&gt;1,"DUPLICATE ID",IF(OR(B188="",C188="",E188="",G188="",H188&lt;=0,L188="",K188=""),"CHECK REQUIRED",IF(AND(G188="Transfer",OR(I188="",J188="",I188=J188)),"CHECK TRANSFER","OK"))))</f>
        <v/>
      </c>
    </row>
    <row r="189">
      <c r="A189" s="5" t="n"/>
      <c r="B189" s="6" t="n"/>
      <c r="C189" s="7" t="n"/>
      <c r="D189" s="8">
        <f>IF(OR(B189="",C189=""),"",B189+C189)</f>
        <v/>
      </c>
      <c r="E189" s="5" t="n"/>
      <c r="F189" s="5" t="n"/>
      <c r="G189" s="5" t="n"/>
      <c r="H189" s="5" t="n"/>
      <c r="I189" s="5" t="n"/>
      <c r="J189" s="5" t="n"/>
      <c r="K189" s="5" t="n"/>
      <c r="L189" s="5" t="n"/>
      <c r="M189" s="3" t="n"/>
      <c r="N189" s="5">
        <f>IF(G189="Receipt",H189,IF(G189="Issue",-H189,0))</f>
        <v/>
      </c>
      <c r="O189" s="3">
        <f>IF(A189="","",IF(COUNTIF($A$2:$A$201,A189)&gt;1,"DUPLICATE ID",IF(OR(B189="",C189="",E189="",G189="",H189&lt;=0,L189="",K189=""),"CHECK REQUIRED",IF(AND(G189="Transfer",OR(I189="",J189="",I189=J189)),"CHECK TRANSFER","OK"))))</f>
        <v/>
      </c>
    </row>
    <row r="190">
      <c r="A190" s="5" t="n"/>
      <c r="B190" s="6" t="n"/>
      <c r="C190" s="7" t="n"/>
      <c r="D190" s="8">
        <f>IF(OR(B190="",C190=""),"",B190+C190)</f>
        <v/>
      </c>
      <c r="E190" s="5" t="n"/>
      <c r="F190" s="5" t="n"/>
      <c r="G190" s="5" t="n"/>
      <c r="H190" s="5" t="n"/>
      <c r="I190" s="5" t="n"/>
      <c r="J190" s="5" t="n"/>
      <c r="K190" s="5" t="n"/>
      <c r="L190" s="5" t="n"/>
      <c r="M190" s="3" t="n"/>
      <c r="N190" s="5">
        <f>IF(G190="Receipt",H190,IF(G190="Issue",-H190,0))</f>
        <v/>
      </c>
      <c r="O190" s="3">
        <f>IF(A190="","",IF(COUNTIF($A$2:$A$201,A190)&gt;1,"DUPLICATE ID",IF(OR(B190="",C190="",E190="",G190="",H190&lt;=0,L190="",K190=""),"CHECK REQUIRED",IF(AND(G190="Transfer",OR(I190="",J190="",I190=J190)),"CHECK TRANSFER","OK"))))</f>
        <v/>
      </c>
    </row>
    <row r="191">
      <c r="A191" s="5" t="n"/>
      <c r="B191" s="6" t="n"/>
      <c r="C191" s="7" t="n"/>
      <c r="D191" s="8">
        <f>IF(OR(B191="",C191=""),"",B191+C191)</f>
        <v/>
      </c>
      <c r="E191" s="5" t="n"/>
      <c r="F191" s="5" t="n"/>
      <c r="G191" s="5" t="n"/>
      <c r="H191" s="5" t="n"/>
      <c r="I191" s="5" t="n"/>
      <c r="J191" s="5" t="n"/>
      <c r="K191" s="5" t="n"/>
      <c r="L191" s="5" t="n"/>
      <c r="M191" s="3" t="n"/>
      <c r="N191" s="5">
        <f>IF(G191="Receipt",H191,IF(G191="Issue",-H191,0))</f>
        <v/>
      </c>
      <c r="O191" s="3">
        <f>IF(A191="","",IF(COUNTIF($A$2:$A$201,A191)&gt;1,"DUPLICATE ID",IF(OR(B191="",C191="",E191="",G191="",H191&lt;=0,L191="",K191=""),"CHECK REQUIRED",IF(AND(G191="Transfer",OR(I191="",J191="",I191=J191)),"CHECK TRANSFER","OK"))))</f>
        <v/>
      </c>
    </row>
    <row r="192">
      <c r="A192" s="5" t="n"/>
      <c r="B192" s="6" t="n"/>
      <c r="C192" s="7" t="n"/>
      <c r="D192" s="8">
        <f>IF(OR(B192="",C192=""),"",B192+C192)</f>
        <v/>
      </c>
      <c r="E192" s="5" t="n"/>
      <c r="F192" s="5" t="n"/>
      <c r="G192" s="5" t="n"/>
      <c r="H192" s="5" t="n"/>
      <c r="I192" s="5" t="n"/>
      <c r="J192" s="5" t="n"/>
      <c r="K192" s="5" t="n"/>
      <c r="L192" s="5" t="n"/>
      <c r="M192" s="3" t="n"/>
      <c r="N192" s="5">
        <f>IF(G192="Receipt",H192,IF(G192="Issue",-H192,0))</f>
        <v/>
      </c>
      <c r="O192" s="3">
        <f>IF(A192="","",IF(COUNTIF($A$2:$A$201,A192)&gt;1,"DUPLICATE ID",IF(OR(B192="",C192="",E192="",G192="",H192&lt;=0,L192="",K192=""),"CHECK REQUIRED",IF(AND(G192="Transfer",OR(I192="",J192="",I192=J192)),"CHECK TRANSFER","OK"))))</f>
        <v/>
      </c>
    </row>
    <row r="193">
      <c r="A193" s="5" t="n"/>
      <c r="B193" s="6" t="n"/>
      <c r="C193" s="7" t="n"/>
      <c r="D193" s="8">
        <f>IF(OR(B193="",C193=""),"",B193+C193)</f>
        <v/>
      </c>
      <c r="E193" s="5" t="n"/>
      <c r="F193" s="5" t="n"/>
      <c r="G193" s="5" t="n"/>
      <c r="H193" s="5" t="n"/>
      <c r="I193" s="5" t="n"/>
      <c r="J193" s="5" t="n"/>
      <c r="K193" s="5" t="n"/>
      <c r="L193" s="5" t="n"/>
      <c r="M193" s="3" t="n"/>
      <c r="N193" s="5">
        <f>IF(G193="Receipt",H193,IF(G193="Issue",-H193,0))</f>
        <v/>
      </c>
      <c r="O193" s="3">
        <f>IF(A193="","",IF(COUNTIF($A$2:$A$201,A193)&gt;1,"DUPLICATE ID",IF(OR(B193="",C193="",E193="",G193="",H193&lt;=0,L193="",K193=""),"CHECK REQUIRED",IF(AND(G193="Transfer",OR(I193="",J193="",I193=J193)),"CHECK TRANSFER","OK"))))</f>
        <v/>
      </c>
    </row>
    <row r="194">
      <c r="A194" s="5" t="n"/>
      <c r="B194" s="6" t="n"/>
      <c r="C194" s="7" t="n"/>
      <c r="D194" s="8">
        <f>IF(OR(B194="",C194=""),"",B194+C194)</f>
        <v/>
      </c>
      <c r="E194" s="5" t="n"/>
      <c r="F194" s="5" t="n"/>
      <c r="G194" s="5" t="n"/>
      <c r="H194" s="5" t="n"/>
      <c r="I194" s="5" t="n"/>
      <c r="J194" s="5" t="n"/>
      <c r="K194" s="5" t="n"/>
      <c r="L194" s="5" t="n"/>
      <c r="M194" s="3" t="n"/>
      <c r="N194" s="5">
        <f>IF(G194="Receipt",H194,IF(G194="Issue",-H194,0))</f>
        <v/>
      </c>
      <c r="O194" s="3">
        <f>IF(A194="","",IF(COUNTIF($A$2:$A$201,A194)&gt;1,"DUPLICATE ID",IF(OR(B194="",C194="",E194="",G194="",H194&lt;=0,L194="",K194=""),"CHECK REQUIRED",IF(AND(G194="Transfer",OR(I194="",J194="",I194=J194)),"CHECK TRANSFER","OK"))))</f>
        <v/>
      </c>
    </row>
    <row r="195">
      <c r="A195" s="5" t="n"/>
      <c r="B195" s="6" t="n"/>
      <c r="C195" s="7" t="n"/>
      <c r="D195" s="8">
        <f>IF(OR(B195="",C195=""),"",B195+C195)</f>
        <v/>
      </c>
      <c r="E195" s="5" t="n"/>
      <c r="F195" s="5" t="n"/>
      <c r="G195" s="5" t="n"/>
      <c r="H195" s="5" t="n"/>
      <c r="I195" s="5" t="n"/>
      <c r="J195" s="5" t="n"/>
      <c r="K195" s="5" t="n"/>
      <c r="L195" s="5" t="n"/>
      <c r="M195" s="3" t="n"/>
      <c r="N195" s="5">
        <f>IF(G195="Receipt",H195,IF(G195="Issue",-H195,0))</f>
        <v/>
      </c>
      <c r="O195" s="3">
        <f>IF(A195="","",IF(COUNTIF($A$2:$A$201,A195)&gt;1,"DUPLICATE ID",IF(OR(B195="",C195="",E195="",G195="",H195&lt;=0,L195="",K195=""),"CHECK REQUIRED",IF(AND(G195="Transfer",OR(I195="",J195="",I195=J195)),"CHECK TRANSFER","OK"))))</f>
        <v/>
      </c>
    </row>
    <row r="196">
      <c r="A196" s="5" t="n"/>
      <c r="B196" s="6" t="n"/>
      <c r="C196" s="7" t="n"/>
      <c r="D196" s="8">
        <f>IF(OR(B196="",C196=""),"",B196+C196)</f>
        <v/>
      </c>
      <c r="E196" s="5" t="n"/>
      <c r="F196" s="5" t="n"/>
      <c r="G196" s="5" t="n"/>
      <c r="H196" s="5" t="n"/>
      <c r="I196" s="5" t="n"/>
      <c r="J196" s="5" t="n"/>
      <c r="K196" s="5" t="n"/>
      <c r="L196" s="5" t="n"/>
      <c r="M196" s="3" t="n"/>
      <c r="N196" s="5">
        <f>IF(G196="Receipt",H196,IF(G196="Issue",-H196,0))</f>
        <v/>
      </c>
      <c r="O196" s="3">
        <f>IF(A196="","",IF(COUNTIF($A$2:$A$201,A196)&gt;1,"DUPLICATE ID",IF(OR(B196="",C196="",E196="",G196="",H196&lt;=0,L196="",K196=""),"CHECK REQUIRED",IF(AND(G196="Transfer",OR(I196="",J196="",I196=J196)),"CHECK TRANSFER","OK"))))</f>
        <v/>
      </c>
    </row>
    <row r="197">
      <c r="A197" s="5" t="n"/>
      <c r="B197" s="6" t="n"/>
      <c r="C197" s="7" t="n"/>
      <c r="D197" s="8">
        <f>IF(OR(B197="",C197=""),"",B197+C197)</f>
        <v/>
      </c>
      <c r="E197" s="5" t="n"/>
      <c r="F197" s="5" t="n"/>
      <c r="G197" s="5" t="n"/>
      <c r="H197" s="5" t="n"/>
      <c r="I197" s="5" t="n"/>
      <c r="J197" s="5" t="n"/>
      <c r="K197" s="5" t="n"/>
      <c r="L197" s="5" t="n"/>
      <c r="M197" s="3" t="n"/>
      <c r="N197" s="5">
        <f>IF(G197="Receipt",H197,IF(G197="Issue",-H197,0))</f>
        <v/>
      </c>
      <c r="O197" s="3">
        <f>IF(A197="","",IF(COUNTIF($A$2:$A$201,A197)&gt;1,"DUPLICATE ID",IF(OR(B197="",C197="",E197="",G197="",H197&lt;=0,L197="",K197=""),"CHECK REQUIRED",IF(AND(G197="Transfer",OR(I197="",J197="",I197=J197)),"CHECK TRANSFER","OK"))))</f>
        <v/>
      </c>
    </row>
    <row r="198">
      <c r="A198" s="5" t="n"/>
      <c r="B198" s="6" t="n"/>
      <c r="C198" s="7" t="n"/>
      <c r="D198" s="8">
        <f>IF(OR(B198="",C198=""),"",B198+C198)</f>
        <v/>
      </c>
      <c r="E198" s="5" t="n"/>
      <c r="F198" s="5" t="n"/>
      <c r="G198" s="5" t="n"/>
      <c r="H198" s="5" t="n"/>
      <c r="I198" s="5" t="n"/>
      <c r="J198" s="5" t="n"/>
      <c r="K198" s="5" t="n"/>
      <c r="L198" s="5" t="n"/>
      <c r="M198" s="3" t="n"/>
      <c r="N198" s="5">
        <f>IF(G198="Receipt",H198,IF(G198="Issue",-H198,0))</f>
        <v/>
      </c>
      <c r="O198" s="3">
        <f>IF(A198="","",IF(COUNTIF($A$2:$A$201,A198)&gt;1,"DUPLICATE ID",IF(OR(B198="",C198="",E198="",G198="",H198&lt;=0,L198="",K198=""),"CHECK REQUIRED",IF(AND(G198="Transfer",OR(I198="",J198="",I198=J198)),"CHECK TRANSFER","OK"))))</f>
        <v/>
      </c>
    </row>
    <row r="199">
      <c r="A199" s="5" t="n"/>
      <c r="B199" s="6" t="n"/>
      <c r="C199" s="7" t="n"/>
      <c r="D199" s="8">
        <f>IF(OR(B199="",C199=""),"",B199+C199)</f>
        <v/>
      </c>
      <c r="E199" s="5" t="n"/>
      <c r="F199" s="5" t="n"/>
      <c r="G199" s="5" t="n"/>
      <c r="H199" s="5" t="n"/>
      <c r="I199" s="5" t="n"/>
      <c r="J199" s="5" t="n"/>
      <c r="K199" s="5" t="n"/>
      <c r="L199" s="5" t="n"/>
      <c r="M199" s="3" t="n"/>
      <c r="N199" s="5">
        <f>IF(G199="Receipt",H199,IF(G199="Issue",-H199,0))</f>
        <v/>
      </c>
      <c r="O199" s="3">
        <f>IF(A199="","",IF(COUNTIF($A$2:$A$201,A199)&gt;1,"DUPLICATE ID",IF(OR(B199="",C199="",E199="",G199="",H199&lt;=0,L199="",K199=""),"CHECK REQUIRED",IF(AND(G199="Transfer",OR(I199="",J199="",I199=J199)),"CHECK TRANSFER","OK"))))</f>
        <v/>
      </c>
    </row>
    <row r="200">
      <c r="A200" s="5" t="n"/>
      <c r="B200" s="6" t="n"/>
      <c r="C200" s="7" t="n"/>
      <c r="D200" s="8">
        <f>IF(OR(B200="",C200=""),"",B200+C200)</f>
        <v/>
      </c>
      <c r="E200" s="5" t="n"/>
      <c r="F200" s="5" t="n"/>
      <c r="G200" s="5" t="n"/>
      <c r="H200" s="5" t="n"/>
      <c r="I200" s="5" t="n"/>
      <c r="J200" s="5" t="n"/>
      <c r="K200" s="5" t="n"/>
      <c r="L200" s="5" t="n"/>
      <c r="M200" s="3" t="n"/>
      <c r="N200" s="5">
        <f>IF(G200="Receipt",H200,IF(G200="Issue",-H200,0))</f>
        <v/>
      </c>
      <c r="O200" s="3">
        <f>IF(A200="","",IF(COUNTIF($A$2:$A$201,A200)&gt;1,"DUPLICATE ID",IF(OR(B200="",C200="",E200="",G200="",H200&lt;=0,L200="",K200=""),"CHECK REQUIRED",IF(AND(G200="Transfer",OR(I200="",J200="",I200=J200)),"CHECK TRANSFER","OK"))))</f>
        <v/>
      </c>
    </row>
    <row r="201">
      <c r="A201" s="5" t="n"/>
      <c r="B201" s="6" t="n"/>
      <c r="C201" s="7" t="n"/>
      <c r="D201" s="8">
        <f>IF(OR(B201="",C201=""),"",B201+C201)</f>
        <v/>
      </c>
      <c r="E201" s="5" t="n"/>
      <c r="F201" s="5" t="n"/>
      <c r="G201" s="5" t="n"/>
      <c r="H201" s="5" t="n"/>
      <c r="I201" s="5" t="n"/>
      <c r="J201" s="5" t="n"/>
      <c r="K201" s="5" t="n"/>
      <c r="L201" s="5" t="n"/>
      <c r="M201" s="3" t="n"/>
      <c r="N201" s="5">
        <f>IF(G201="Receipt",H201,IF(G201="Issue",-H201,0))</f>
        <v/>
      </c>
      <c r="O201" s="3">
        <f>IF(A201="","",IF(COUNTIF($A$2:$A$201,A201)&gt;1,"DUPLICATE ID",IF(OR(B201="",C201="",E201="",G201="",H201&lt;=0,L201="",K201=""),"CHECK REQUIRED",IF(AND(G201="Transfer",OR(I201="",J201="",I201=J201)),"CHECK TRANSFER","OK"))))</f>
        <v/>
      </c>
    </row>
  </sheetData>
  <autoFilter ref="A1:O201"/>
  <conditionalFormatting sqref="O2:O201">
    <cfRule type="cellIs" priority="1" operator="equal" dxfId="0">
      <formula>"OK"</formula>
    </cfRule>
    <cfRule type="cellIs" priority="2" operator="equal" dxfId="1">
      <formula>"DUPLICATE ID"</formula>
    </cfRule>
    <cfRule type="cellIs" priority="3" operator="equal" dxfId="2">
      <formula>"CHECK REQUIRED"</formula>
    </cfRule>
  </conditionalFormatting>
  <dataValidations count="3">
    <dataValidation sqref="G2:G201" showDropDown="0" showInputMessage="0" showErrorMessage="0" allowBlank="1" type="list">
      <formula1>"Receipt,Issue,Transfer"</formula1>
    </dataValidation>
    <dataValidation sqref="E2:E201" showDropDown="0" showInputMessage="0" showErrorMessage="0" allowBlank="1" type="list">
      <formula1>'Stock Summary'!$A$2:$A$6</formula1>
    </dataValidation>
    <dataValidation sqref="H2:H201" showDropDown="0" showInputMessage="0" showErrorMessage="0" allowBlank="1" type="whole" operator="greaterThan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8" customWidth="1" min="3" max="3"/>
    <col width="16" customWidth="1" min="4" max="4"/>
    <col width="14" customWidth="1" min="5" max="5"/>
    <col width="12" customWidth="1" min="6" max="6"/>
    <col width="15" customWidth="1" min="7" max="7"/>
    <col width="15" customWidth="1" min="8" max="8"/>
    <col width="20" customWidth="1" min="9" max="9"/>
    <col width="18" customWidth="1" min="10" max="10"/>
  </cols>
  <sheetData>
    <row r="1">
      <c r="A1" s="4" t="inlineStr">
        <is>
          <t>SKU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Opening Stock</t>
        </is>
      </c>
      <c r="E1" s="4" t="inlineStr">
        <is>
          <t>Receipts</t>
        </is>
      </c>
      <c r="F1" s="4" t="inlineStr">
        <is>
          <t>Issues</t>
        </is>
      </c>
      <c r="G1" s="4" t="inlineStr">
        <is>
          <t>Current Stock</t>
        </is>
      </c>
      <c r="H1" s="4" t="inlineStr">
        <is>
          <t>Reorder Level</t>
        </is>
      </c>
      <c r="I1" s="4" t="inlineStr">
        <is>
          <t>Status</t>
        </is>
      </c>
      <c r="J1" s="4" t="inlineStr">
        <is>
          <t>Primary Location</t>
        </is>
      </c>
    </row>
    <row r="2">
      <c r="A2" s="9" t="inlineStr">
        <is>
          <t>SKU-1001</t>
        </is>
      </c>
      <c r="B2" s="9" t="inlineStr">
        <is>
          <t>Wireless Mouse</t>
        </is>
      </c>
      <c r="C2" s="9" t="inlineStr">
        <is>
          <t>Electronics</t>
        </is>
      </c>
      <c r="D2" s="9" t="n">
        <v>120</v>
      </c>
      <c r="E2" s="9">
        <f>SUMIFS(Transactions!$H$2:$H$201,Transactions!$E$2:$E$201,A2,Transactions!$G$2:$G$201,"Receipt")</f>
        <v/>
      </c>
      <c r="F2" s="9">
        <f>SUMIFS(Transactions!$H$2:$H$201,Transactions!$E$2:$E$201,A2,Transactions!$G$2:$G$201,"Issue")</f>
        <v/>
      </c>
      <c r="G2" s="9">
        <f>D2+E2-F2</f>
        <v/>
      </c>
      <c r="H2" s="9" t="n">
        <v>30</v>
      </c>
      <c r="I2" s="9">
        <f>IF(G2&lt;0,"NEGATIVE STOCK",IF(G2&lt;=H2,"REORDER","OK"))</f>
        <v/>
      </c>
      <c r="J2" s="9" t="inlineStr">
        <is>
          <t>A-01</t>
        </is>
      </c>
    </row>
    <row r="3">
      <c r="A3" s="9" t="inlineStr">
        <is>
          <t>SKU-1002</t>
        </is>
      </c>
      <c r="B3" s="9" t="inlineStr">
        <is>
          <t>USB Keyboard</t>
        </is>
      </c>
      <c r="C3" s="9" t="inlineStr">
        <is>
          <t>Electronics</t>
        </is>
      </c>
      <c r="D3" s="9" t="n">
        <v>80</v>
      </c>
      <c r="E3" s="9">
        <f>SUMIFS(Transactions!$H$2:$H$201,Transactions!$E$2:$E$201,A3,Transactions!$G$2:$G$201,"Receipt")</f>
        <v/>
      </c>
      <c r="F3" s="9">
        <f>SUMIFS(Transactions!$H$2:$H$201,Transactions!$E$2:$E$201,A3,Transactions!$G$2:$G$201,"Issue")</f>
        <v/>
      </c>
      <c r="G3" s="9">
        <f>D3+E3-F3</f>
        <v/>
      </c>
      <c r="H3" s="9" t="n">
        <v>20</v>
      </c>
      <c r="I3" s="9">
        <f>IF(G3&lt;0,"NEGATIVE STOCK",IF(G3&lt;=H3,"REORDER","OK"))</f>
        <v/>
      </c>
      <c r="J3" s="9" t="inlineStr">
        <is>
          <t>A-02</t>
        </is>
      </c>
    </row>
    <row r="4">
      <c r="A4" s="9" t="inlineStr">
        <is>
          <t>SKU-1003</t>
        </is>
      </c>
      <c r="B4" s="9" t="inlineStr">
        <is>
          <t>HDMI Cable 2m</t>
        </is>
      </c>
      <c r="C4" s="9" t="inlineStr">
        <is>
          <t>Accessories</t>
        </is>
      </c>
      <c r="D4" s="9" t="n">
        <v>150</v>
      </c>
      <c r="E4" s="9">
        <f>SUMIFS(Transactions!$H$2:$H$201,Transactions!$E$2:$E$201,A4,Transactions!$G$2:$G$201,"Receipt")</f>
        <v/>
      </c>
      <c r="F4" s="9">
        <f>SUMIFS(Transactions!$H$2:$H$201,Transactions!$E$2:$E$201,A4,Transactions!$G$2:$G$201,"Issue")</f>
        <v/>
      </c>
      <c r="G4" s="9">
        <f>D4+E4-F4</f>
        <v/>
      </c>
      <c r="H4" s="9" t="n">
        <v>40</v>
      </c>
      <c r="I4" s="9">
        <f>IF(G4&lt;0,"NEGATIVE STOCK",IF(G4&lt;=H4,"REORDER","OK"))</f>
        <v/>
      </c>
      <c r="J4" s="9" t="inlineStr">
        <is>
          <t>B-01</t>
        </is>
      </c>
    </row>
    <row r="5">
      <c r="A5" s="9" t="inlineStr">
        <is>
          <t>SKU-1004</t>
        </is>
      </c>
      <c r="B5" s="9" t="inlineStr">
        <is>
          <t>Laptop Stand</t>
        </is>
      </c>
      <c r="C5" s="9" t="inlineStr">
        <is>
          <t>Accessories</t>
        </is>
      </c>
      <c r="D5" s="9" t="n">
        <v>60</v>
      </c>
      <c r="E5" s="9">
        <f>SUMIFS(Transactions!$H$2:$H$201,Transactions!$E$2:$E$201,A5,Transactions!$G$2:$G$201,"Receipt")</f>
        <v/>
      </c>
      <c r="F5" s="9">
        <f>SUMIFS(Transactions!$H$2:$H$201,Transactions!$E$2:$E$201,A5,Transactions!$G$2:$G$201,"Issue")</f>
        <v/>
      </c>
      <c r="G5" s="9">
        <f>D5+E5-F5</f>
        <v/>
      </c>
      <c r="H5" s="9" t="n">
        <v>15</v>
      </c>
      <c r="I5" s="9">
        <f>IF(G5&lt;0,"NEGATIVE STOCK",IF(G5&lt;=H5,"REORDER","OK"))</f>
        <v/>
      </c>
      <c r="J5" s="9" t="inlineStr">
        <is>
          <t>B-02</t>
        </is>
      </c>
    </row>
    <row r="6">
      <c r="A6" s="9" t="inlineStr">
        <is>
          <t>SKU-1005</t>
        </is>
      </c>
      <c r="B6" s="9" t="inlineStr">
        <is>
          <t>USB-C Charger</t>
        </is>
      </c>
      <c r="C6" s="9" t="inlineStr">
        <is>
          <t>Electronics</t>
        </is>
      </c>
      <c r="D6" s="9" t="n">
        <v>90</v>
      </c>
      <c r="E6" s="9">
        <f>SUMIFS(Transactions!$H$2:$H$201,Transactions!$E$2:$E$201,A6,Transactions!$G$2:$G$201,"Receipt")</f>
        <v/>
      </c>
      <c r="F6" s="9">
        <f>SUMIFS(Transactions!$H$2:$H$201,Transactions!$E$2:$E$201,A6,Transactions!$G$2:$G$201,"Issue")</f>
        <v/>
      </c>
      <c r="G6" s="9">
        <f>D6+E6-F6</f>
        <v/>
      </c>
      <c r="H6" s="9" t="n">
        <v>25</v>
      </c>
      <c r="I6" s="9">
        <f>IF(G6&lt;0,"NEGATIVE STOCK",IF(G6&lt;=H6,"REORDER","OK"))</f>
        <v/>
      </c>
      <c r="J6" s="9" t="inlineStr">
        <is>
          <t>C-01</t>
        </is>
      </c>
    </row>
  </sheetData>
  <autoFilter ref="A1:J6"/>
  <conditionalFormatting sqref="I2:I6">
    <cfRule type="cellIs" priority="1" operator="equal" dxfId="2">
      <formula>"REORDER"</formula>
    </cfRule>
    <cfRule type="cellIs" priority="2" operator="equal" dxfId="1">
      <formula>"NEGATIVE STOCK"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8" customWidth="1" min="3" max="3"/>
    <col width="18" customWidth="1" min="4" max="4"/>
  </cols>
  <sheetData>
    <row r="1">
      <c r="A1" s="10" t="inlineStr">
        <is>
          <t>WEEKLY INVENTORY DASHBOARD</t>
        </is>
      </c>
    </row>
    <row r="2">
      <c r="A2" s="11" t="inlineStr">
        <is>
          <t>Metric</t>
        </is>
      </c>
      <c r="B2" s="11" t="inlineStr">
        <is>
          <t>Formula / Value</t>
        </is>
      </c>
      <c r="C2" s="11" t="n"/>
      <c r="D2" s="11" t="n"/>
    </row>
    <row r="3">
      <c r="A3" s="12" t="inlineStr">
        <is>
          <t>Total opening stock</t>
        </is>
      </c>
      <c r="B3" s="13">
        <f>SUM('Stock Summary'!D2:D6)</f>
        <v/>
      </c>
    </row>
    <row r="4">
      <c r="A4" s="12" t="inlineStr">
        <is>
          <t>Total receipts</t>
        </is>
      </c>
      <c r="B4" s="13">
        <f>SUM('Stock Summary'!E2:E6)</f>
        <v/>
      </c>
    </row>
    <row r="5">
      <c r="A5" s="12" t="inlineStr">
        <is>
          <t>Total issues</t>
        </is>
      </c>
      <c r="B5" s="13">
        <f>SUM('Stock Summary'!F2:F6)</f>
        <v/>
      </c>
    </row>
    <row r="6">
      <c r="A6" s="12" t="inlineStr">
        <is>
          <t>Current stock on hand</t>
        </is>
      </c>
      <c r="B6" s="13">
        <f>SUM('Stock Summary'!G2:G6)</f>
        <v/>
      </c>
    </row>
    <row r="7">
      <c r="A7" s="12" t="inlineStr">
        <is>
          <t>Transactions recorded</t>
        </is>
      </c>
      <c r="B7" s="13">
        <f>COUNTA(Transactions!A2:A201)</f>
        <v/>
      </c>
    </row>
    <row r="8">
      <c r="A8" s="12" t="inlineStr">
        <is>
          <t>Rows needing review</t>
        </is>
      </c>
      <c r="B8" s="13">
        <f>COUNTIF(Transactions!O2:O201,"CHECK REQUIRED")+COUNTIF(Transactions!O2:O201,"DUPLICATE ID")+COUNTIF(Transactions!O2:O201,"CHECK TRANSFER")</f>
        <v/>
      </c>
    </row>
    <row r="11">
      <c r="A11" s="14" t="inlineStr">
        <is>
          <t>Weekly simulation notes</t>
        </is>
      </c>
    </row>
    <row r="12">
      <c r="A12" s="3" t="inlineStr">
        <is>
          <t>Receipts increase stock, issues decrease stock, and internal transfers are recorded for location traceability without changing total stock.</t>
        </is>
      </c>
    </row>
    <row r="13"/>
  </sheetData>
  <mergeCells count="2">
    <mergeCell ref="A1:D1"/>
    <mergeCell ref="A12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2026-10-11T09:18:51Z</dcterms:created>
  <dcterms:modified xmlns:dcterms="http://purl.org/dc/terms/" xmlns:xsi="http://www.w3.org/2001/XMLSchema-instance" xsi:type="dcterms:W3CDTF">2026-10-11T09:18:51Z</dcterms:modified>
</cp:coreProperties>
</file>